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ade0cfb55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010825626b4544b6"/>
    <x:sheet xmlns:r="http://schemas.openxmlformats.org/officeDocument/2006/relationships" name="DATOS" sheetId="2" r:id="Rf1fd072857fb40a5"/>
    <x:sheet xmlns:r="http://schemas.openxmlformats.org/officeDocument/2006/relationships" name="TARIFAS" sheetId="3" r:id="Ra08b24f691134c33"/>
    <x:sheet xmlns:r="http://schemas.openxmlformats.org/officeDocument/2006/relationships" name="PROYECTOS" sheetId="4" r:id="Ra4e5492e0c994035"/>
    <x:sheet xmlns:r="http://schemas.openxmlformats.org/officeDocument/2006/relationships" name="CONTROL" sheetId="5" r:id="R958ffdd16b6e40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 &quot;€&quot;;[Red](#,##0.00 &quot;€&quot;);-"/>
    <x:numFmt numFmtId="201" formatCode="#,##0;[Red](#,##0);-"/>
    <x:numFmt numFmtId="202" formatCode="0.0%;[Red](0.0%);-"/>
    <x:numFmt numFmtId="203" formatCode="0.0"/>
    <x:numFmt numFmtId="204" formatCode="#,##0.0"/>
  </x:numFmts>
  <x:fonts count="17">
    <x:font>
      <x:sz val="11"/>
      <x:name val="Carlito"/>
    </x:font>
    <x:font>
      <x:sz val="10"/>
      <x:color rgb="FF17202A"/>
      <x:name val="Aptos"/>
    </x:font>
    <x:font>
      <x:b/>
      <x:sz val="20"/>
      <x:color rgb="FFFFFFFF"/>
      <x:name val="Aptos Display"/>
    </x:font>
    <x:font>
      <x:sz val="10"/>
      <x:color rgb="FF63758A"/>
      <x:name val="Aptos"/>
    </x:font>
    <x:font>
      <x:b/>
      <x:sz val="11"/>
      <x:color rgb="FFFFFFFF"/>
      <x:name val="Aptos"/>
    </x:font>
    <x:font>
      <x:b/>
      <x:sz val="10"/>
      <x:color rgb="FF5D3A6E"/>
      <x:name val="Aptos"/>
    </x:font>
    <x:font>
      <x:b/>
      <x:sz val="10"/>
      <x:color rgb="FF0000FF"/>
      <x:name val="Aptos"/>
    </x:font>
    <x:font>
      <x:b/>
      <x:sz val="10"/>
      <x:color rgb="FF17202A"/>
      <x:name val="Aptos"/>
    </x:font>
    <x:font>
      <x:b/>
      <x:sz val="10"/>
      <x:color rgb="FFFFFFFF"/>
      <x:name val="Aptos"/>
    </x:font>
    <x:font>
      <x:i/>
      <x:sz val="10"/>
      <x:color rgb="FF63758A"/>
      <x:name val="Aptos"/>
    </x:font>
    <x:font>
      <x:sz val="10"/>
      <x:color rgb="FF0000FF"/>
      <x:name val="Aptos"/>
    </x:font>
    <x:font>
      <x:b/>
      <x:sz val="10"/>
      <x:color rgb="FF63758A"/>
      <x:name val="Aptos"/>
    </x:font>
    <x:font>
      <x:b/>
      <x:sz val="16"/>
      <x:color rgb="FF5D3A6E"/>
      <x:name val="Aptos"/>
    </x:font>
    <x:font>
      <x:b/>
      <x:sz val="9"/>
      <x:color rgb="FFFFFFFF"/>
      <x:name val="Aptos"/>
    </x:font>
    <x:font>
      <x:b/>
      <x:sz val="11"/>
      <x:color rgb="FF17202A"/>
      <x:name val="Carlito"/>
    </x:font>
    <x:font>
      <x:sz val="11"/>
      <x:color rgb="FF63758A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5D3A6E"/>
      </x:patternFill>
    </x:fill>
    <x:fill>
      <x:patternFill patternType="solid">
        <x:fgColor rgb="FFF7F9FC"/>
      </x:patternFill>
    </x:fill>
    <x:fill>
      <x:patternFill patternType="solid">
        <x:fgColor rgb="FFFFF4C7"/>
      </x:patternFill>
    </x:fill>
    <x:fill>
      <x:patternFill patternType="solid">
        <x:fgColor rgb="FFEAF0F6"/>
      </x:patternFill>
    </x:fill>
    <x:fill>
      <x:patternFill patternType="solid">
        <x:fgColor rgb="FFFFFFFF"/>
      </x:patternFill>
    </x:fill>
    <x:fill>
      <x:patternFill patternType="solid">
        <x:fgColor rgb="FFFFF4C7"/>
      </x:patternFill>
    </x:fill>
    <x:fill>
      <x:patternFill patternType="solid">
        <x:fgColor rgb="FFF7F9FC"/>
      </x:patternFill>
    </x:fill>
    <x:fill>
      <x:patternFill patternType="solid">
        <x:fgColor rgb="FF5D3A6E"/>
      </x:patternFill>
    </x:fill>
    <x:fill>
      <x:patternFill patternType="solid">
        <x:fgColor rgb="FFF7F9FC"/>
      </x:patternFill>
    </x:fill>
    <x:fill>
      <x:patternFill patternType="solid">
        <x:fgColor rgb="FFEAF0F6"/>
      </x:patternFill>
    </x:fill>
  </x:fills>
  <x:borders count="26">
    <x:border/>
    <x:border>
      <x:bottom style="thin">
        <x:color rgb="FFD6DEE8"/>
      </x:bottom>
    </x:border>
    <x:border>
      <x:top style="thin">
        <x:color rgb="FFD6DEE8"/>
      </x:top>
      <x:bottom style="thin">
        <x:color rgb="FFD6DEE8"/>
      </x:bottom>
    </x:border>
    <x:border>
      <x:top style="thin">
        <x:color rgb="FFD6DEE8"/>
      </x:top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medium">
        <x:color rgb="FF5D3A6E"/>
      </x:left>
      <x:top style="medium">
        <x:color rgb="FF5D3A6E"/>
      </x:top>
      <x:bottom style="medium">
        <x:color rgb="FF5D3A6E"/>
      </x:bottom>
    </x:border>
    <x:border>
      <x:top style="medium">
        <x:color rgb="FF5D3A6E"/>
      </x:top>
      <x:bottom style="medium">
        <x:color rgb="FF5D3A6E"/>
      </x:bottom>
    </x:border>
    <x:border>
      <x:right style="medium">
        <x:color rgb="FF5D3A6E"/>
      </x:right>
      <x:top style="medium">
        <x:color rgb="FF5D3A6E"/>
      </x:top>
      <x:bottom style="medium">
        <x:color rgb="FF5D3A6E"/>
      </x:bottom>
    </x:border>
    <x:border>
      <x:left style="medium">
        <x:color rgb="FF40566E"/>
      </x:left>
      <x:top style="medium">
        <x:color rgb="FF40566E"/>
      </x:top>
      <x:bottom style="medium">
        <x:color rgb="FF40566E"/>
      </x:bottom>
    </x:border>
    <x:border>
      <x:top style="medium">
        <x:color rgb="FF40566E"/>
      </x:top>
      <x:bottom style="medium">
        <x:color rgb="FF40566E"/>
      </x:bottom>
    </x:border>
    <x:border>
      <x:right style="medium">
        <x:color rgb="FF40566E"/>
      </x:right>
      <x:top style="medium">
        <x:color rgb="FF40566E"/>
      </x:top>
      <x:bottom style="medium">
        <x:color rgb="FF40566E"/>
      </x:bottom>
    </x:border>
    <x:border>
      <x:left style="thin">
        <x:color rgb="FF5D3A6E"/>
      </x:left>
      <x:top style="thin">
        <x:color rgb="FF5D3A6E"/>
      </x:top>
    </x:border>
    <x:border>
      <x:top style="thin">
        <x:color rgb="FF5D3A6E"/>
      </x:top>
    </x:border>
    <x:border>
      <x:right style="thin">
        <x:color rgb="FF5D3A6E"/>
      </x:right>
      <x:top style="thin">
        <x:color rgb="FF5D3A6E"/>
      </x:top>
    </x:border>
    <x:border>
      <x:left style="thin">
        <x:color rgb="FF5D3A6E"/>
      </x:left>
      <x:bottom style="thin">
        <x:color rgb="FF5D3A6E"/>
      </x:bottom>
    </x:border>
    <x:border>
      <x:bottom style="thin">
        <x:color rgb="FF5D3A6E"/>
      </x:bottom>
    </x:border>
    <x:border>
      <x:right style="thin">
        <x:color rgb="FF5D3A6E"/>
      </x:right>
      <x:bottom style="thin">
        <x:color rgb="FF5D3A6E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/>
    </x:xf>
    <x:xf numFmtId="0" fontId="10" fillId="4" borderId="2" xfId="0" applyNumberFormat="1" applyFont="1" applyFill="1" applyBorder="1" applyAlignment="1">
      <x:alignment vertical="center"/>
    </x:xf>
    <x:xf numFmtId="0" fontId="10" fillId="4" borderId="3" xfId="0" applyNumberFormat="1" applyFont="1" applyFill="1" applyBorder="1" applyAlignment="1">
      <x:alignment vertical="center"/>
    </x:xf>
    <x:xf numFmtId="200" fontId="10" fillId="4" borderId="1" xfId="0" applyNumberFormat="1" applyFont="1" applyFill="1" applyBorder="1" applyAlignment="1">
      <x:alignment vertical="center"/>
    </x:xf>
    <x:xf numFmtId="201" fontId="10" fillId="4" borderId="2" xfId="0" applyNumberFormat="1" applyFont="1" applyFill="1" applyBorder="1" applyAlignment="1">
      <x:alignment vertical="center"/>
    </x:xf>
    <x:xf numFmtId="200" fontId="10" fillId="4" borderId="2" xfId="0" applyNumberFormat="1" applyFont="1" applyFill="1" applyBorder="1" applyAlignment="1">
      <x:alignment vertical="center"/>
    </x:xf>
    <x:xf numFmtId="202" fontId="10" fillId="4" borderId="2" xfId="0" applyNumberFormat="1" applyFont="1" applyFill="1" applyBorder="1" applyAlignment="1">
      <x:alignment vertical="center"/>
    </x:xf>
    <x:xf numFmtId="203" fontId="10" fillId="4" borderId="2" xfId="0" applyNumberFormat="1" applyFont="1" applyFill="1" applyBorder="1" applyAlignment="1">
      <x:alignment vertical="center"/>
    </x:xf>
    <x:xf numFmtId="202" fontId="10" fillId="4" borderId="3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200" fontId="1" fillId="5" borderId="2" xfId="0" applyNumberFormat="1" applyFont="1" applyFill="1" applyBorder="1" applyAlignment="1">
      <x:alignment vertical="center"/>
    </x:xf>
    <x:xf numFmtId="204" fontId="1" fillId="5" borderId="2" xfId="0" applyNumberFormat="1" applyFont="1" applyFill="1" applyBorder="1" applyAlignment="1">
      <x:alignment vertical="center"/>
    </x:xf>
    <x:xf numFmtId="200" fontId="1" fillId="5" borderId="3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11" fillId="3" borderId="4" xfId="0" applyNumberFormat="1" applyFont="1" applyFill="1" applyBorder="1" applyAlignment="1">
      <x:alignment vertical="center"/>
    </x:xf>
    <x:xf numFmtId="0" fontId="11" fillId="3" borderId="2" xfId="0" applyNumberFormat="1" applyFont="1" applyFill="1" applyBorder="1" applyAlignment="1">
      <x:alignment vertical="center"/>
    </x:xf>
    <x:xf numFmtId="0" fontId="11" fillId="3" borderId="5" xfId="0" applyNumberFormat="1" applyFont="1" applyFill="1" applyBorder="1" applyAlignment="1">
      <x:alignment vertical="center"/>
    </x:xf>
    <x:xf numFmtId="0" fontId="11" fillId="3" borderId="4" xfId="0" applyNumberFormat="1" applyFont="1" applyFill="1" applyBorder="1" applyAlignment="1">
      <x:alignment horizontal="center" vertical="center"/>
    </x:xf>
    <x:xf numFmtId="0" fontId="11" fillId="3" borderId="2" xfId="0" applyNumberFormat="1" applyFont="1" applyFill="1" applyBorder="1" applyAlignment="1">
      <x:alignment horizontal="center" vertical="center"/>
    </x:xf>
    <x:xf numFmtId="0" fontId="11" fillId="3" borderId="5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/>
    </x:xf>
    <x:xf numFmtId="0" fontId="12" fillId="6" borderId="6" xfId="0" applyNumberFormat="1" applyFont="1" applyFill="1" applyBorder="1" applyAlignment="1">
      <x:alignment vertical="center"/>
    </x:xf>
    <x:xf numFmtId="0" fontId="12" fillId="6" borderId="3" xfId="0" applyNumberFormat="1" applyFont="1" applyFill="1" applyBorder="1" applyAlignment="1">
      <x:alignment vertical="center"/>
    </x:xf>
    <x:xf numFmtId="0" fontId="12" fillId="6" borderId="7" xfId="0" applyNumberFormat="1" applyFont="1" applyFill="1" applyBorder="1" applyAlignment="1">
      <x:alignment vertical="center"/>
    </x:xf>
    <x:xf numFmtId="0" fontId="12" fillId="6" borderId="8" xfId="0" applyNumberFormat="1" applyFont="1" applyFill="1" applyBorder="1" applyAlignment="1">
      <x:alignment vertical="center"/>
    </x:xf>
    <x:xf numFmtId="0" fontId="12" fillId="6" borderId="1" xfId="0" applyNumberFormat="1" applyFont="1" applyFill="1" applyBorder="1" applyAlignment="1">
      <x:alignment vertical="center"/>
    </x:xf>
    <x:xf numFmtId="0" fontId="12" fillId="6" borderId="9" xfId="0" applyNumberFormat="1" applyFont="1" applyFill="1" applyBorder="1" applyAlignment="1">
      <x:alignment vertical="center"/>
    </x:xf>
    <x:xf numFmtId="200" fontId="12" fillId="6" borderId="6" xfId="0" applyNumberFormat="1" applyFont="1" applyFill="1" applyBorder="1" applyAlignment="1">
      <x:alignment vertical="center"/>
    </x:xf>
    <x:xf numFmtId="200" fontId="12" fillId="6" borderId="3" xfId="0" applyNumberFormat="1" applyFont="1" applyFill="1" applyBorder="1" applyAlignment="1">
      <x:alignment vertical="center"/>
    </x:xf>
    <x:xf numFmtId="200" fontId="12" fillId="6" borderId="7" xfId="0" applyNumberFormat="1" applyFont="1" applyFill="1" applyBorder="1" applyAlignment="1">
      <x:alignment vertical="center"/>
    </x:xf>
    <x:xf numFmtId="200" fontId="12" fillId="6" borderId="8" xfId="0" applyNumberFormat="1" applyFont="1" applyFill="1" applyBorder="1" applyAlignment="1">
      <x:alignment vertical="center"/>
    </x:xf>
    <x:xf numFmtId="200" fontId="12" fillId="6" borderId="1" xfId="0" applyNumberFormat="1" applyFont="1" applyFill="1" applyBorder="1" applyAlignment="1">
      <x:alignment vertical="center"/>
    </x:xf>
    <x:xf numFmtId="200" fontId="12" fillId="6" borderId="9" xfId="0" applyNumberFormat="1" applyFont="1" applyFill="1" applyBorder="1" applyAlignment="1">
      <x:alignment vertical="center"/>
    </x:xf>
    <x:xf numFmtId="200" fontId="12" fillId="6" borderId="6" xfId="0" applyNumberFormat="1" applyFont="1" applyFill="1" applyBorder="1" applyAlignment="1">
      <x:alignment horizontal="center" vertical="center"/>
    </x:xf>
    <x:xf numFmtId="200" fontId="12" fillId="6" borderId="3" xfId="0" applyNumberFormat="1" applyFont="1" applyFill="1" applyBorder="1" applyAlignment="1">
      <x:alignment horizontal="center" vertical="center"/>
    </x:xf>
    <x:xf numFmtId="200" fontId="12" fillId="6" borderId="7" xfId="0" applyNumberFormat="1" applyFont="1" applyFill="1" applyBorder="1" applyAlignment="1">
      <x:alignment horizontal="center" vertical="center"/>
    </x:xf>
    <x:xf numFmtId="200" fontId="12" fillId="6" borderId="8" xfId="0" applyNumberFormat="1" applyFont="1" applyFill="1" applyBorder="1" applyAlignment="1">
      <x:alignment horizontal="center" vertical="center"/>
    </x:xf>
    <x:xf numFmtId="200" fontId="12" fillId="6" borderId="1" xfId="0" applyNumberFormat="1" applyFont="1" applyFill="1" applyBorder="1" applyAlignment="1">
      <x:alignment horizontal="center" vertical="center"/>
    </x:xf>
    <x:xf numFmtId="200" fontId="12" fillId="6" borderId="9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vertical="center"/>
    </x:xf>
    <x:xf numFmtId="0" fontId="13" fillId="2" borderId="10" xfId="0" applyNumberFormat="1" applyFont="1" applyFill="1" applyBorder="1" applyAlignment="1">
      <x:alignment vertical="center"/>
    </x:xf>
    <x:xf numFmtId="0" fontId="13" fillId="2" borderId="10" xfId="0" applyNumberFormat="1" applyFont="1" applyFill="1" applyBorder="1" applyAlignment="1">
      <x:alignment vertical="center" wrapText="1"/>
    </x:xf>
    <x:xf numFmtId="0" fontId="13" fillId="2" borderId="1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4" fontId="1" fillId="5" borderId="9" xfId="0" applyNumberFormat="1" applyFont="1" applyFill="1" applyBorder="1" applyAlignment="1">
      <x:alignment vertical="center"/>
    </x:xf>
    <x:xf numFmtId="200" fontId="1" fillId="5" borderId="11" xfId="0" applyNumberFormat="1" applyFont="1" applyFill="1" applyBorder="1" applyAlignment="1">
      <x:alignment vertical="center"/>
    </x:xf>
    <x:xf numFmtId="200" fontId="1" fillId="5" borderId="8" xfId="0" applyNumberFormat="1" applyFont="1" applyFill="1" applyBorder="1" applyAlignment="1">
      <x:alignment vertical="center"/>
    </x:xf>
    <x:xf numFmtId="204" fontId="1" fillId="5" borderId="5" xfId="0" applyNumberFormat="1" applyFont="1" applyFill="1" applyBorder="1" applyAlignment="1">
      <x:alignment vertical="center"/>
    </x:xf>
    <x:xf numFmtId="200" fontId="1" fillId="5" borderId="12" xfId="0" applyNumberFormat="1" applyFont="1" applyFill="1" applyBorder="1" applyAlignment="1">
      <x:alignment vertical="center"/>
    </x:xf>
    <x:xf numFmtId="200" fontId="1" fillId="5" borderId="4" xfId="0" applyNumberFormat="1" applyFont="1" applyFill="1" applyBorder="1" applyAlignment="1">
      <x:alignment vertical="center"/>
    </x:xf>
    <x:xf numFmtId="204" fontId="1" fillId="5" borderId="7" xfId="0" applyNumberFormat="1" applyFont="1" applyFill="1" applyBorder="1" applyAlignment="1">
      <x:alignment vertical="center"/>
    </x:xf>
    <x:xf numFmtId="200" fontId="1" fillId="5" borderId="13" xfId="0" applyNumberFormat="1" applyFont="1" applyFill="1" applyBorder="1" applyAlignment="1">
      <x:alignment vertical="center"/>
    </x:xf>
    <x:xf numFmtId="200" fontId="1" fillId="5" borderId="6" xfId="0" applyNumberFormat="1" applyFont="1" applyFill="1" applyBorder="1" applyAlignment="1">
      <x:alignment vertical="center"/>
    </x:xf>
    <x:xf numFmtId="0" fontId="10" fillId="4" borderId="9" xfId="0" applyNumberFormat="1" applyFont="1" applyFill="1" applyBorder="1" applyAlignment="1">
      <x:alignment vertical="center"/>
    </x:xf>
    <x:xf numFmtId="0" fontId="10" fillId="4" borderId="11" xfId="0" applyNumberFormat="1" applyFont="1" applyFill="1" applyBorder="1" applyAlignment="1">
      <x:alignment vertical="center"/>
    </x:xf>
    <x:xf numFmtId="0" fontId="10" fillId="4" borderId="8" xfId="0" applyNumberFormat="1" applyFont="1" applyFill="1" applyBorder="1" applyAlignment="1">
      <x:alignment vertical="center"/>
    </x:xf>
    <x:xf numFmtId="0" fontId="10" fillId="4" borderId="5" xfId="0" applyNumberFormat="1" applyFont="1" applyFill="1" applyBorder="1" applyAlignment="1">
      <x:alignment vertical="center"/>
    </x:xf>
    <x:xf numFmtId="0" fontId="10" fillId="4" borderId="12" xfId="0" applyNumberFormat="1" applyFont="1" applyFill="1" applyBorder="1" applyAlignment="1">
      <x:alignment vertical="center"/>
    </x:xf>
    <x:xf numFmtId="0" fontId="10" fillId="4" borderId="4" xfId="0" applyNumberFormat="1" applyFont="1" applyFill="1" applyBorder="1" applyAlignment="1">
      <x:alignment vertical="center"/>
    </x:xf>
    <x:xf numFmtId="0" fontId="10" fillId="4" borderId="7" xfId="0" applyNumberFormat="1" applyFont="1" applyFill="1" applyBorder="1" applyAlignment="1">
      <x:alignment vertical="center"/>
    </x:xf>
    <x:xf numFmtId="0" fontId="10" fillId="4" borderId="13" xfId="0" applyNumberFormat="1" applyFont="1" applyFill="1" applyBorder="1" applyAlignment="1">
      <x:alignment vertical="center"/>
    </x:xf>
    <x:xf numFmtId="0" fontId="10" fillId="4" borderId="6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12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13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200" fontId="10" fillId="4" borderId="11" xfId="0" applyNumberFormat="1" applyFont="1" applyFill="1" applyBorder="1" applyAlignment="1">
      <x:alignment vertical="center"/>
    </x:xf>
    <x:xf numFmtId="200" fontId="10" fillId="4" borderId="8" xfId="0" applyNumberFormat="1" applyFont="1" applyFill="1" applyBorder="1" applyAlignment="1">
      <x:alignment vertical="center"/>
    </x:xf>
    <x:xf numFmtId="200" fontId="1" fillId="5" borderId="9" xfId="0" applyNumberFormat="1" applyFont="1" applyFill="1" applyBorder="1" applyAlignment="1">
      <x:alignment vertical="center"/>
    </x:xf>
    <x:xf numFmtId="200" fontId="10" fillId="4" borderId="12" xfId="0" applyNumberFormat="1" applyFont="1" applyFill="1" applyBorder="1" applyAlignment="1">
      <x:alignment vertical="center"/>
    </x:xf>
    <x:xf numFmtId="200" fontId="10" fillId="4" borderId="4" xfId="0" applyNumberFormat="1" applyFont="1" applyFill="1" applyBorder="1" applyAlignment="1">
      <x:alignment vertical="center"/>
    </x:xf>
    <x:xf numFmtId="200" fontId="1" fillId="5" borderId="5" xfId="0" applyNumberFormat="1" applyFont="1" applyFill="1" applyBorder="1" applyAlignment="1">
      <x:alignment vertical="center"/>
    </x:xf>
    <x:xf numFmtId="200" fontId="10" fillId="4" borderId="13" xfId="0" applyNumberFormat="1" applyFont="1" applyFill="1" applyBorder="1" applyAlignment="1">
      <x:alignment vertical="center"/>
    </x:xf>
    <x:xf numFmtId="200" fontId="10" fillId="4" borderId="6" xfId="0" applyNumberFormat="1" applyFont="1" applyFill="1" applyBorder="1" applyAlignment="1">
      <x:alignment vertical="center"/>
    </x:xf>
    <x:xf numFmtId="200" fontId="1" fillId="5" borderId="7" xfId="0" applyNumberFormat="1" applyFont="1" applyFill="1" applyBorder="1" applyAlignment="1">
      <x:alignment vertical="center"/>
    </x:xf>
    <x:xf numFmtId="202" fontId="1" fillId="5" borderId="8" xfId="0" applyNumberFormat="1" applyFont="1" applyFill="1" applyBorder="1" applyAlignment="1">
      <x:alignment vertical="center"/>
    </x:xf>
    <x:xf numFmtId="202" fontId="1" fillId="5" borderId="4" xfId="0" applyNumberFormat="1" applyFont="1" applyFill="1" applyBorder="1" applyAlignment="1">
      <x:alignment vertical="center"/>
    </x:xf>
    <x:xf numFmtId="202" fontId="1" fillId="5" borderId="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0" fontId="1" fillId="0" borderId="13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14" xfId="0" applyNumberFormat="1" applyFont="1" applyFill="1" applyBorder="1" applyAlignment="1">
      <x:alignment vertical="center"/>
    </x:xf>
    <x:xf numFmtId="0" fontId="7" fillId="3" borderId="15" xfId="0" applyNumberFormat="1" applyFont="1" applyFill="1" applyBorder="1" applyAlignment="1">
      <x:alignment vertical="center"/>
    </x:xf>
    <x:xf numFmtId="0" fontId="7" fillId="3" borderId="16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10" fillId="7" borderId="0" xfId="0" applyNumberFormat="1" applyFont="1" applyFill="1" applyBorder="1" applyAlignment="1">
      <x:alignment vertical="center"/>
    </x:xf>
    <x:xf numFmtId="202" fontId="10" fillId="7" borderId="1" xfId="0" applyNumberFormat="1" applyFont="1" applyFill="1" applyBorder="1" applyAlignment="1">
      <x:alignment vertical="center"/>
    </x:xf>
    <x:xf numFmtId="202" fontId="10" fillId="7" borderId="2" xfId="0" applyNumberFormat="1" applyFont="1" applyFill="1" applyBorder="1" applyAlignment="1">
      <x:alignment vertical="center"/>
    </x:xf>
    <x:xf numFmtId="202" fontId="10" fillId="7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12" xfId="0" applyNumberFormat="1" applyFont="1" applyFill="1" applyBorder="1"/>
    <x:xf numFmtId="200" fontId="0" fillId="0" borderId="12" xfId="0" applyNumberFormat="1" applyFont="1" applyFill="1" applyBorder="1"/>
    <x:xf numFmtId="0" fontId="0" fillId="8" borderId="12" xfId="0" applyNumberFormat="1" applyFont="1" applyFill="1" applyBorder="1"/>
    <x:xf numFmtId="0" fontId="14" fillId="8" borderId="12" xfId="0" applyNumberFormat="1" applyFont="1" applyFill="1" applyBorder="1"/>
    <x:xf numFmtId="0" fontId="14" fillId="8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horizontal="center"/>
    </x:xf>
    <x:xf numFmtId="0" fontId="15" fillId="0" borderId="12" xfId="0" applyNumberFormat="1" applyFont="1" applyFill="1" applyBorder="1"/>
    <x:xf numFmtId="0" fontId="15" fillId="0" borderId="12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6" fillId="8" borderId="0" xfId="0" applyNumberFormat="1" applyFont="1" applyFill="1" applyBorder="1"/>
    <x:xf numFmtId="0" fontId="16" fillId="8" borderId="17" xfId="0" applyNumberFormat="1" applyFont="1" applyFill="1" applyBorder="1"/>
    <x:xf numFmtId="0" fontId="16" fillId="8" borderId="18" xfId="0" applyNumberFormat="1" applyFont="1" applyFill="1" applyBorder="1"/>
    <x:xf numFmtId="0" fontId="16" fillId="8" borderId="19" xfId="0" applyNumberFormat="1" applyFont="1" applyFill="1" applyBorder="1"/>
    <x:xf numFmtId="0" fontId="16" fillId="8" borderId="18" xfId="0" applyNumberFormat="1" applyFont="1" applyFill="1" applyBorder="1" applyAlignment="1">
      <x:alignment horizontal="center"/>
    </x:xf>
    <x:xf numFmtId="0" fontId="16" fillId="8" borderId="19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1" fillId="11" borderId="20" xfId="0" applyNumberFormat="1" applyFont="1" applyFill="1" applyBorder="1" applyAlignment="1">
      <x:alignment vertical="center"/>
    </x:xf>
    <x:xf numFmtId="0" fontId="1" fillId="11" borderId="21" xfId="0" applyNumberFormat="1" applyFont="1" applyFill="1" applyBorder="1" applyAlignment="1">
      <x:alignment vertical="center"/>
    </x:xf>
    <x:xf numFmtId="0" fontId="1" fillId="11" borderId="22" xfId="0" applyNumberFormat="1" applyFont="1" applyFill="1" applyBorder="1" applyAlignment="1">
      <x:alignment vertical="center"/>
    </x:xf>
    <x:xf numFmtId="0" fontId="1" fillId="11" borderId="23" xfId="0" applyNumberFormat="1" applyFont="1" applyFill="1" applyBorder="1" applyAlignment="1">
      <x:alignment vertical="center"/>
    </x:xf>
    <x:xf numFmtId="0" fontId="1" fillId="11" borderId="24" xfId="0" applyNumberFormat="1" applyFont="1" applyFill="1" applyBorder="1" applyAlignment="1">
      <x:alignment vertical="center"/>
    </x:xf>
    <x:xf numFmtId="0" fontId="1" fillId="11" borderId="25" xfId="0" applyNumberFormat="1" applyFont="1" applyFill="1" applyBorder="1" applyAlignment="1">
      <x:alignment vertical="center"/>
    </x:xf>
    <x:xf numFmtId="0" fontId="1" fillId="11" borderId="20" xfId="0" applyNumberFormat="1" applyFont="1" applyFill="1" applyBorder="1" applyAlignment="1">
      <x:alignment vertical="center" wrapText="1"/>
    </x:xf>
    <x:xf numFmtId="0" fontId="1" fillId="11" borderId="21" xfId="0" applyNumberFormat="1" applyFont="1" applyFill="1" applyBorder="1" applyAlignment="1">
      <x:alignment vertical="center" wrapText="1"/>
    </x:xf>
    <x:xf numFmtId="0" fontId="1" fillId="11" borderId="22" xfId="0" applyNumberFormat="1" applyFont="1" applyFill="1" applyBorder="1" applyAlignment="1">
      <x:alignment vertical="center" wrapText="1"/>
    </x:xf>
    <x:xf numFmtId="0" fontId="1" fillId="11" borderId="23" xfId="0" applyNumberFormat="1" applyFont="1" applyFill="1" applyBorder="1" applyAlignment="1">
      <x:alignment vertical="center" wrapText="1"/>
    </x:xf>
    <x:xf numFmtId="0" fontId="1" fillId="11" borderId="24" xfId="0" applyNumberFormat="1" applyFont="1" applyFill="1" applyBorder="1" applyAlignment="1">
      <x:alignment vertical="center" wrapText="1"/>
    </x:xf>
    <x:xf numFmtId="0" fontId="1" fillId="11" borderId="25" xfId="0" applyNumberFormat="1" applyFont="1" applyFill="1" applyBorder="1" applyAlignment="1">
      <x:alignment vertical="center" wrapText="1"/>
    </x:xf>
    <x:xf numFmtId="0" fontId="1" fillId="11" borderId="20" xfId="0" applyNumberFormat="1" applyFont="1" applyFill="1" applyBorder="1" applyAlignment="1">
      <x:alignment horizontal="center" vertical="center" wrapText="1"/>
    </x:xf>
    <x:xf numFmtId="0" fontId="1" fillId="11" borderId="21" xfId="0" applyNumberFormat="1" applyFont="1" applyFill="1" applyBorder="1" applyAlignment="1">
      <x:alignment horizontal="center" vertical="center" wrapText="1"/>
    </x:xf>
    <x:xf numFmtId="0" fontId="1" fillId="11" borderId="22" xfId="0" applyNumberFormat="1" applyFont="1" applyFill="1" applyBorder="1" applyAlignment="1">
      <x:alignment horizontal="center" vertical="center" wrapText="1"/>
    </x:xf>
    <x:xf numFmtId="0" fontId="1" fillId="11" borderId="23" xfId="0" applyNumberFormat="1" applyFont="1" applyFill="1" applyBorder="1" applyAlignment="1">
      <x:alignment horizontal="center" vertical="center" wrapText="1"/>
    </x:xf>
    <x:xf numFmtId="0" fontId="1" fillId="11" borderId="24" xfId="0" applyNumberFormat="1" applyFont="1" applyFill="1" applyBorder="1" applyAlignment="1">
      <x:alignment horizontal="center" vertical="center" wrapText="1"/>
    </x:xf>
    <x:xf numFmtId="0" fontId="1" fillId="11" borderId="25" xfId="0" applyNumberFormat="1" applyFont="1" applyFill="1" applyBorder="1" applyAlignment="1">
      <x:alignment horizontal="center" vertical="center" wrapText="1"/>
    </x:xf>
    <x:xf numFmtId="0" fontId="7" fillId="11" borderId="20" xfId="0" applyNumberFormat="1" applyFont="1" applyFill="1" applyBorder="1" applyAlignment="1">
      <x:alignment horizontal="center" vertical="center" wrapText="1"/>
    </x:xf>
    <x:xf numFmtId="0" fontId="7" fillId="11" borderId="21" xfId="0" applyNumberFormat="1" applyFont="1" applyFill="1" applyBorder="1" applyAlignment="1">
      <x:alignment horizontal="center" vertical="center" wrapText="1"/>
    </x:xf>
    <x:xf numFmtId="0" fontId="7" fillId="11" borderId="22" xfId="0" applyNumberFormat="1" applyFont="1" applyFill="1" applyBorder="1" applyAlignment="1">
      <x:alignment horizontal="center" vertical="center" wrapText="1"/>
    </x:xf>
    <x:xf numFmtId="0" fontId="6" fillId="11" borderId="23" xfId="0" applyNumberFormat="1" applyFont="1" applyFill="1" applyBorder="1" applyAlignment="1">
      <x:alignment horizontal="center" vertical="center" wrapText="1"/>
    </x:xf>
    <x:xf numFmtId="0" fontId="6" fillId="11" borderId="24" xfId="0" applyNumberFormat="1" applyFont="1" applyFill="1" applyBorder="1" applyAlignment="1">
      <x:alignment horizontal="center" vertical="center" wrapText="1"/>
    </x:xf>
    <x:xf numFmtId="0" fontId="6" fillId="11" borderId="25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  <x:color rgb="FF1F6B3A"/>
      </x:font>
      <x:fill>
        <x:patternFill>
          <x:bgColor rgb="FFE3F3E8"/>
        </x:patternFill>
      </x:fill>
    </x:dxf>
    <x:dxf>
      <x:font>
        <x:b/>
        <x:color rgb="FFA33A2B"/>
      </x:font>
      <x:fill>
        <x:patternFill>
          <x:bgColor rgb="FFFCE8E6"/>
        </x:patternFill>
      </x:fill>
    </x:dxf>
    <x:dxf>
      <x:font>
        <x:b/>
        <x:color rgb="FF1F6B3A"/>
      </x:font>
      <x:fill>
        <x:patternFill>
          <x:bgColor rgb="FFE3F3E8"/>
        </x:patternFill>
      </x:fill>
    </x:dxf>
    <x:dxf>
      <x:font>
        <x:b/>
        <x:color rgb="FFA33A2B"/>
      </x:font>
      <x:fill>
        <x:patternFill>
          <x:bgColor rgb="FFFCE8E6"/>
        </x:patternFill>
      </x:fill>
    </x:dxf>
    <x:dxf>
      <x:font>
        <x:b/>
        <x:color rgb="FF1F6B3A"/>
      </x:font>
      <x:fill>
        <x:patternFill>
          <x:bgColor rgb="FFE3F3E8"/>
        </x:patternFill>
      </x:fill>
    </x:dxf>
    <x:dxf>
      <x:font>
        <x:b/>
        <x:color rgb="FFA33A2B"/>
      </x:font>
      <x:fill>
        <x:patternFill>
          <x:bgColor rgb="FFFCE8E6"/>
        </x:patternFill>
      </x:fill>
    </x:dxf>
    <x:dxf>
      <x:font>
        <x:b/>
        <x:color rgb="FF1F6B3A"/>
      </x:font>
      <x:fill>
        <x:patternFill>
          <x:bgColor rgb="FFE3F3E8"/>
        </x:patternFill>
      </x:fill>
    </x:dxf>
    <x:dxf>
      <x:font>
        <x:b/>
        <x:color rgb="FFA33A2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e59db280094745" /><Relationship Type="http://schemas.openxmlformats.org/officeDocument/2006/relationships/theme" Target="/xl/theme/theme1.xml" Id="Rb194f666ce3045dd" /><Relationship Type="http://schemas.openxmlformats.org/officeDocument/2006/relationships/sharedStrings" Target="/xl/sharedStrings.xml" Id="R6a90ce0ea0fc41a7" /><Relationship Type="http://schemas.openxmlformats.org/officeDocument/2006/relationships/worksheet" Target="/xl/worksheets/sheet1.xml" Id="R010825626b4544b6" /><Relationship Type="http://schemas.openxmlformats.org/officeDocument/2006/relationships/worksheet" Target="/xl/worksheets/sheet2.xml" Id="Rf1fd072857fb40a5" /><Relationship Type="http://schemas.openxmlformats.org/officeDocument/2006/relationships/worksheet" Target="/xl/worksheets/sheet3.xml" Id="Ra08b24f691134c33" /><Relationship Type="http://schemas.openxmlformats.org/officeDocument/2006/relationships/worksheet" Target="/xl/worksheets/sheet4.xml" Id="Ra4e5492e0c994035" /><Relationship Type="http://schemas.openxmlformats.org/officeDocument/2006/relationships/worksheet" Target="/xl/worksheets/sheet5.xml" Id="R958ffdd16b6e40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5528189b164e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Facturación anual por ocupación (€)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Facturación anual</c:v>
          </c:tx>
          <c:spPr>
            <a:solidFill xmlns:a="http://schemas.openxmlformats.org/drawingml/2006/main">
              <a:srgbClr val="5D3A6E"/>
            </a:solidFill>
          </c:spPr>
          <c:cat>
            <c:strRef>
              <c:f>'TARIFAS'!$A$12:$A$15</c:f>
              <c:strCache>
                <c:ptCount val="0"/>
              </c:strCache>
            </c:strRef>
          </c:cat>
          <c:val>
            <c:numRef>
              <c:f>'TARIFAS'!$C$12:$C$15</c:f>
              <c:numCache>
                <c:formatCode>#,##0 €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€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5528189b164e9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2b7b33290034a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2" hidden="0" customWidth="1"/>
    <x:col min="3" max="3" width="70" hidden="0" customWidth="1"/>
    <x:col min="4" max="4" width="3" hidden="0" customWidth="1"/>
    <x:col min="5" max="5" width="18" hidden="0" customWidth="1"/>
    <x:col min="6" max="6" width="18" hidden="0" customWidth="1"/>
    <x:col min="7" max="7" width="18" hidden="0" customWidth="1"/>
    <x:col min="8" max="8" width="3" hidden="0" customWidth="1"/>
  </x:cols>
  <x:sheetData>
    <x:row r="1" ht="34" customHeight="1">
      <x:c r="A1" s="4" t="str">
        <x:v>CALCULADORA DE ESCENARIOS DE TARIFA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Escenarios de hora, día y proyecto derivados de los objetivos, costes y capacidad que introduzcas</x:v>
      </x:c>
      <x:c r="B2" s="7"/>
      <x:c r="C2" s="7"/>
      <x:c r="D2" s="7"/>
      <x:c r="E2" s="7"/>
      <x:c r="F2" s="7"/>
      <x:c r="G2" s="7"/>
      <x:c r="H2" s="7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2"/>
      <x:c r="B5" s="8" t="str">
        <x:v>CÓMO EMPEZAR</x:v>
      </x:c>
      <x:c r="C5" s="8"/>
      <x:c r="D5" s="8"/>
      <x:c r="E5" s="8"/>
      <x:c r="F5" s="8"/>
      <x:c r="G5" s="8"/>
      <x:c r="H5" s="8"/>
    </x:row>
    <x:row r="6" ht="28" customHeight="1">
      <x:c r="A6" s="2"/>
      <x:c r="B6" s="10" t="str">
        <x:v>1.</x:v>
      </x:c>
      <x:c r="C6" s="11" t="str">
        <x:v>Sustituye los supuestos amarillos de DATOS por los valores que quieras analizar.</x:v>
      </x:c>
      <x:c r="D6" s="2"/>
      <x:c r="E6" s="2"/>
      <x:c r="F6" s="2"/>
      <x:c r="G6" s="2"/>
      <x:c r="H6" s="2"/>
    </x:row>
    <x:row r="7" ht="28" customHeight="1">
      <x:c r="A7" s="2"/>
      <x:c r="B7" s="10" t="str">
        <x:v>2.</x:v>
      </x:c>
      <x:c r="C7" s="11" t="str">
        <x:v>Revisa los escenarios de tarifa en TARIFAS.</x:v>
      </x:c>
      <x:c r="D7" s="2"/>
      <x:c r="E7" s="2"/>
      <x:c r="F7" s="2"/>
      <x:c r="G7" s="2"/>
      <x:c r="H7" s="2"/>
    </x:row>
    <x:row r="8" ht="28" customHeight="1">
      <x:c r="A8" s="2"/>
      <x:c r="B8" s="10" t="str">
        <x:v>3.</x:v>
      </x:c>
      <x:c r="C8" s="11" t="str">
        <x:v>Edita los porcentajes amarillos de TARIFAS para comparar escenarios de ocupación facturable.</x:v>
      </x:c>
      <x:c r="D8" s="2"/>
      <x:c r="E8" s="2"/>
      <x:c r="F8" s="2"/>
      <x:c r="G8" s="2"/>
      <x:c r="H8" s="2"/>
    </x:row>
    <x:row r="9" ht="28" customHeight="1">
      <x:c r="A9" s="2"/>
      <x:c r="B9" s="10" t="str">
        <x:v>4.</x:v>
      </x:c>
      <x:c r="C9" s="11" t="str">
        <x:v>Usa PROYECTOS para presupuestar y medir margen por encargo.</x:v>
      </x:c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4" customHeight="1">
      <x:c r="A12" s="2"/>
      <x:c r="B12" s="8" t="str">
        <x:v>LEYENDA DE COLORES</x:v>
      </x:c>
      <x:c r="C12" s="8"/>
      <x:c r="D12" s="8"/>
      <x:c r="E12" s="8"/>
      <x:c r="F12" s="8"/>
      <x:c r="G12" s="8"/>
      <x:c r="H12" s="8"/>
    </x:row>
    <x:row r="13">
      <x:c r="A13" s="2"/>
      <x:c r="B13" s="13" t="str">
        <x:v>Celdas amarillas</x:v>
      </x:c>
      <x:c r="C13" s="11" t="str">
        <x:v>Supuestos y datos editables.</x:v>
      </x:c>
      <x:c r="D13" s="2"/>
      <x:c r="E13" s="2"/>
      <x:c r="F13" s="2"/>
      <x:c r="G13" s="2"/>
      <x:c r="H13" s="2"/>
    </x:row>
    <x:row r="14">
      <x:c r="A14" s="2"/>
      <x:c r="B14" s="15" t="str">
        <x:v>Celdas gris-azul</x:v>
      </x:c>
      <x:c r="C14" s="11" t="str">
        <x:v>Fórmulas y resultados automáticos.</x:v>
      </x:c>
      <x:c r="D14" s="2"/>
      <x:c r="E14" s="2"/>
      <x:c r="F14" s="2"/>
      <x:c r="G14" s="2"/>
      <x:c r="H14" s="2"/>
    </x:row>
    <x:row r="15">
      <x:c r="A15" s="2"/>
      <x:c r="B15" s="16" t="str">
        <x:v>Cabeceras ciruela</x:v>
      </x:c>
      <x:c r="C15" s="11" t="str">
        <x:v>Secciones y tablas.</x:v>
      </x:c>
      <x:c r="D15" s="2"/>
      <x:c r="E15" s="2"/>
      <x:c r="F15" s="2"/>
      <x:c r="G15" s="2"/>
      <x:c r="H15" s="2"/>
    </x:row>
    <x:row r="16">
      <x:c r="A16" s="2"/>
      <x:c r="B16" s="2"/>
      <x:c r="C16" s="2" t="str">
        <x:v>Objetivo neto, costes, reserva, margen sobre precio, jornada y capacidad facturable.</x:v>
      </x:c>
      <x:c r="D16" s="2"/>
      <x:c r="E16" s="2"/>
      <x:c r="F16" s="2"/>
      <x:c r="G16" s="2"/>
      <x:c r="H16" s="2"/>
    </x:row>
    <x:row r="17" ht="24" customHeight="1">
      <x:c r="A17" s="2"/>
      <x:c r="B17" s="8" t="str">
        <x:v>QUÉ HACE CADA PESTAÑA</x:v>
      </x:c>
      <x:c r="C17" s="8"/>
      <x:c r="D17" s="8"/>
      <x:c r="E17" s="8"/>
      <x:c r="F17" s="8"/>
      <x:c r="G17" s="8"/>
      <x:c r="H17" s="8"/>
    </x:row>
    <x:row r="18" ht="26" customHeight="1">
      <x:c r="A18" s="2"/>
      <x:c r="B18" s="15" t="str">
        <x:v>DATOS</x:v>
      </x:c>
      <x:c r="C18" s="11" t="str">
        <x:v>Objetivo neto, costes, reserva, jornada y capacidad facturable.</x:v>
      </x:c>
      <x:c r="D18" s="2"/>
      <x:c r="E18" s="2"/>
      <x:c r="F18" s="2"/>
      <x:c r="G18" s="2"/>
      <x:c r="H18" s="2"/>
    </x:row>
    <x:row r="19" ht="26" customHeight="1">
      <x:c r="A19" s="2"/>
      <x:c r="B19" s="15" t="str">
        <x:v>TARIFAS</x:v>
      </x:c>
      <x:c r="C19" s="11" t="str">
        <x:v>Escenarios de tarifa y ocupación, referencias y gráfico.</x:v>
      </x:c>
      <x:c r="D19" s="2"/>
      <x:c r="E19" s="2"/>
      <x:c r="F19" s="2"/>
      <x:c r="G19" s="2"/>
      <x:c r="H19" s="2"/>
    </x:row>
    <x:row r="20" ht="26" customHeight="1">
      <x:c r="A20" s="2"/>
      <x:c r="B20" s="15" t="str">
        <x:v>PROYECTOS</x:v>
      </x:c>
      <x:c r="C20" s="11" t="str">
        <x:v>Presupuesto frente a horas y margen registrado por proyecto.</x:v>
      </x:c>
      <x:c r="D20" s="2"/>
      <x:c r="E20" s="2"/>
      <x:c r="F20" s="2"/>
      <x:c r="G20" s="2"/>
      <x:c r="H20" s="2"/>
    </x:row>
    <x:row r="21" ht="26" customHeight="1">
      <x:c r="A21" s="2"/>
      <x:c r="B21" s="15" t="str">
        <x:v>CONTROL</x:v>
      </x:c>
      <x:c r="C21" s="11" t="str">
        <x:v>Comprobaciones de coherencia del cálculo.</x:v>
      </x:c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8" t="str">
        <x:v>NOTA IMPORTANTE</x:v>
      </x:c>
      <x:c r="C26" s="8"/>
      <x:c r="D26" s="8"/>
      <x:c r="E26" s="8"/>
      <x:c r="F26" s="8"/>
      <x:c r="G26" s="8"/>
      <x:c r="H26" s="8"/>
    </x:row>
    <x:row r="27">
      <x:c r="A27" s="2"/>
      <x:c r="B27" s="19" t="str">
        <x:v>Alcance: herramienta general de planificación con supuestos editables. No constituye asesoramiento fiscal, jurídico, contable o financiero; no determina una tarifa adecuada ni garantiza demanda, ingresos, ocupación, margen o rentabilidad.</x:v>
      </x:c>
      <x:c r="C27" s="19"/>
      <x:c r="D27" s="19"/>
      <x:c r="E27" s="19"/>
      <x:c r="F27" s="19"/>
      <x:c r="G27" s="19"/>
      <x:c r="H27" s="19"/>
    </x:row>
    <x:row r="28">
      <x:c r="A28" s="2"/>
      <x:c r="B28" s="19"/>
      <x:c r="C28" s="19"/>
      <x:c r="D28" s="19"/>
      <x:c r="E28" s="19"/>
      <x:c r="F28" s="19"/>
      <x:c r="G28" s="19"/>
      <x:c r="H28" s="19"/>
    </x:row>
    <x:row r="29">
      <x:c r="A29" s="2"/>
      <x:c r="B29" s="19"/>
      <x:c r="C29" s="19"/>
      <x:c r="D29" s="19"/>
      <x:c r="E29" s="19"/>
      <x:c r="F29" s="19"/>
      <x:c r="G29" s="19"/>
      <x:c r="H29" s="19"/>
    </x:row>
    <x:row r="30">
      <x:c r="A30" s="2"/>
      <x:c r="B30" s="19"/>
      <x:c r="C30" s="19"/>
      <x:c r="D30" s="19"/>
      <x:c r="E30" s="19"/>
      <x:c r="F30" s="19"/>
      <x:c r="G30" s="19"/>
      <x:c r="H30" s="19"/>
    </x:row>
    <x:row r="31" ht="24" customHeight="1">
      <x:c r="A31" s="2"/>
      <x:c r="B31" s="153" t="str">
        <x:v>SIGUIENTE PASO</x:v>
      </x:c>
      <x:c r="C31" s="153"/>
      <x:c r="D31" s="153"/>
      <x:c r="E31" s="153"/>
      <x:c r="F31" s="153"/>
      <x:c r="G31" s="153"/>
      <x:c r="H31" s="153"/>
    </x:row>
    <x:row r="32" ht="32" customHeight="1">
      <x:c r="A32" s="2"/>
      <x:c r="B32" s="155" t="str">
        <x:v>Esta calculadora muestra escenarios de precios. Para registrar ingresos y gastos, usa Contabilidad; para comparar cobros, pagos y reservas configurables, usa Flujo de Caja.</x:v>
      </x:c>
      <x:c r="C32" s="155"/>
      <x:c r="D32" s="155"/>
      <x:c r="E32" s="155"/>
      <x:c r="F32" s="155"/>
      <x:c r="G32" s="155"/>
      <x:c r="H32" s="155"/>
    </x:row>
    <x:row r="33" ht="22" customHeight="1">
      <x:c r="A33" s="2"/>
      <x:c r="B33" s="175" t="str">
        <x:v>CONTABILIDAD AUTÓNOMOS 2026</x:v>
      </x:c>
      <x:c r="C33" s="176"/>
      <x:c r="D33" s="177"/>
      <x:c r="E33" s="175" t="str">
        <x:v>FLUJO DE CAJA + HUCHA DE IMPUESTOS</x:v>
      </x:c>
      <x:c r="F33" s="176"/>
      <x:c r="G33" s="176"/>
      <x:c r="H33" s="177"/>
    </x:row>
    <x:row r="34" ht="22" customHeight="1">
      <x:c r="A34" s="2"/>
      <x:c r="B34" s="178" t="str">
        <x:v>https://nimblysheets.com/contabilidad</x:v>
      </x:c>
      <x:c r="C34" s="179"/>
      <x:c r="D34" s="180"/>
      <x:c r="E34" s="178" t="str">
        <x:v>https://nimblysheets.com/flujo</x:v>
      </x:c>
      <x:c r="F34" s="179"/>
      <x:c r="G34" s="179"/>
      <x:c r="H34" s="180"/>
    </x:row>
    <x:row r="35" ht="22" customHeight="1">
      <x:c r="A35" s="2"/>
      <x:c r="B35" s="183" t="str">
        <x:v>Herramientas opcionales de Nimbly Sheets. Funcionan por separado: elige solo la que encaje con tu trabajo.</x:v>
      </x:c>
      <x:c r="C35" s="183"/>
      <x:c r="D35" s="183"/>
      <x:c r="E35" s="183"/>
      <x:c r="F35" s="183"/>
      <x:c r="G35" s="183"/>
      <x:c r="H35" s="183"/>
    </x:row>
  </x:sheetData>
  <x:mergeCells>
    <x:mergeCell ref="A1:H1"/>
    <x:mergeCell ref="A2:H2"/>
    <x:mergeCell ref="B5:H5"/>
    <x:mergeCell ref="B12:H12"/>
    <x:mergeCell ref="B17:H17"/>
    <x:mergeCell ref="B26:H26"/>
    <x:mergeCell ref="B27:H30"/>
    <x:mergeCell ref="B31:H31"/>
    <x:mergeCell ref="B32:H32"/>
    <x:mergeCell ref="B33:D33"/>
    <x:mergeCell ref="E33:H33"/>
    <x:mergeCell ref="B34:D34"/>
    <x:mergeCell ref="E34:H34"/>
    <x:mergeCell ref="B35:H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2" hidden="0" customWidth="1"/>
    <x:col min="3" max="3" width="20" hidden="0" customWidth="1"/>
    <x:col min="4" max="4" width="4" hidden="0" customWidth="1"/>
    <x:col min="5" max="5" width="34" hidden="0" customWidth="1"/>
    <x:col min="6" max="6" width="20" hidden="0" customWidth="1"/>
  </x:cols>
  <x:sheetData>
    <x:row r="1" ht="34" customHeight="1">
      <x:c r="A1" s="4" t="str">
        <x:v>DATOS Y SUPUESTOS</x:v>
      </x:c>
      <x:c r="B1" s="4"/>
      <x:c r="C1" s="4"/>
      <x:c r="D1" s="4"/>
      <x:c r="E1" s="4"/>
      <x:c r="F1" s="4"/>
    </x:row>
    <x:row r="2" ht="24" customHeight="1">
      <x:c r="A2" s="7" t="str">
        <x:v>Introduce los objetivos y la capacidad que quieras analizar. La plantilla no selecciona tipos fiscales ni determina precios adecuados.</x:v>
      </x:c>
      <x:c r="B2" s="7"/>
      <x:c r="C2" s="7"/>
      <x:c r="D2" s="7"/>
      <x:c r="E2" s="7"/>
      <x:c r="F2" s="7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24" customHeight="1">
      <x:c r="A5" s="2"/>
      <x:c r="B5" s="8" t="str">
        <x:v>DATOS EDITABLES</x:v>
      </x:c>
      <x:c r="C5" s="8"/>
      <x:c r="D5" s="2"/>
      <x:c r="E5" s="2"/>
      <x:c r="F5" s="2"/>
    </x:row>
    <x:row r="6">
      <x:c r="A6" s="2"/>
      <x:c r="B6" s="2" t="str">
        <x:v>Objetivo neto mensual</x:v>
      </x:c>
      <x:c r="C6" s="24" t="n">
        <x:v>3000</x:v>
      </x:c>
      <x:c r="D6" s="2"/>
      <x:c r="E6" s="2"/>
      <x:c r="F6" s="2"/>
    </x:row>
    <x:row r="7">
      <x:c r="A7" s="2"/>
      <x:c r="B7" s="2" t="str">
        <x:v>Meses cobrados al año</x:v>
      </x:c>
      <x:c r="C7" s="25" t="n">
        <x:v>12</x:v>
      </x:c>
      <x:c r="D7" s="2"/>
      <x:c r="E7" s="2"/>
      <x:c r="F7" s="2"/>
    </x:row>
    <x:row r="8">
      <x:c r="A8" s="2"/>
      <x:c r="B8" s="2" t="str">
        <x:v>Costes anuales del negocio</x:v>
      </x:c>
      <x:c r="C8" s="26" t="n">
        <x:v>8000</x:v>
      </x:c>
      <x:c r="D8" s="2"/>
      <x:c r="E8" s="2"/>
      <x:c r="F8" s="2"/>
    </x:row>
    <x:row r="9">
      <x:c r="A9" s="2"/>
      <x:c r="B9" s="2" t="str">
        <x:v>Reserva impuestos + SS</x:v>
      </x:c>
      <x:c r="C9" s="27" t="n">
        <x:v>0.28</x:v>
      </x:c>
      <x:c r="D9" s="2"/>
      <x:c r="E9" s="2"/>
      <x:c r="F9" s="2"/>
    </x:row>
    <x:row r="10">
      <x:c r="A10" s="2"/>
      <x:c r="B10" s="2" t="str">
        <x:v>Semanas de vacaciones / baja</x:v>
      </x:c>
      <x:c r="C10" s="28" t="n">
        <x:v>5</x:v>
      </x:c>
      <x:c r="D10" s="2"/>
      <x:c r="E10" s="2"/>
      <x:c r="F10" s="2"/>
    </x:row>
    <x:row r="11">
      <x:c r="A11" s="2"/>
      <x:c r="B11" s="2" t="str">
        <x:v>Días de trabajo por semana</x:v>
      </x:c>
      <x:c r="C11" s="28" t="n">
        <x:v>5</x:v>
      </x:c>
      <x:c r="D11" s="2"/>
      <x:c r="E11" s="2"/>
      <x:c r="F11" s="2"/>
    </x:row>
    <x:row r="12">
      <x:c r="A12" s="2"/>
      <x:c r="B12" s="2" t="str">
        <x:v>Horas de trabajo por día</x:v>
      </x:c>
      <x:c r="C12" s="28" t="n">
        <x:v>7.5</x:v>
      </x:c>
      <x:c r="D12" s="2"/>
      <x:c r="E12" s="2"/>
      <x:c r="F12" s="2"/>
    </x:row>
    <x:row r="13">
      <x:c r="A13" s="2"/>
      <x:c r="B13" s="2" t="str">
        <x:v>Tiempo no facturable</x:v>
      </x:c>
      <x:c r="C13" s="27" t="n">
        <x:v>0.35</x:v>
      </x:c>
      <x:c r="D13" s="2"/>
      <x:c r="E13" s="2"/>
      <x:c r="F13" s="2"/>
    </x:row>
    <x:row r="14">
      <x:c r="A14" s="2"/>
      <x:c r="B14" s="2" t="str">
        <x:v>Margen objetivo sobre el precio</x:v>
      </x:c>
      <x:c r="C14" s="27" t="n">
        <x:v>0.15</x:v>
      </x:c>
      <x:c r="D14" s="2"/>
      <x:c r="E14" s="2"/>
      <x:c r="F14" s="2"/>
    </x:row>
    <x:row r="15">
      <x:c r="A15" s="2"/>
      <x:c r="B15" s="2" t="str">
        <x:v>Horas facturables por día vendido</x:v>
      </x:c>
      <x:c r="C15" s="28" t="n">
        <x:v>6</x:v>
      </x:c>
      <x:c r="D15" s="2"/>
      <x:c r="E15" s="2"/>
      <x:c r="F15" s="2"/>
    </x:row>
    <x:row r="16">
      <x:c r="A16" s="2"/>
      <x:c r="B16" s="2" t="str">
        <x:v>Contingencia por proyecto</x:v>
      </x:c>
      <x:c r="C16" s="29" t="n">
        <x:v>0.1</x:v>
      </x:c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 ht="24" customHeight="1">
      <x:c r="A19" s="2"/>
      <x:c r="B19" s="8" t="str">
        <x:v>CÁLCULO BASE</x:v>
      </x:c>
      <x:c r="C19" s="8"/>
      <x:c r="D19" s="2"/>
      <x:c r="E19" s="2"/>
      <x:c r="F19" s="2"/>
    </x:row>
    <x:row r="20">
      <x:c r="A20" s="2"/>
      <x:c r="B20" s="2" t="str">
        <x:v>Neto anual deseado</x:v>
      </x:c>
      <x:c r="C20" s="33" t="n">
        <x:f>C6*C7</x:f>
        <x:v>36000</x:v>
      </x:c>
      <x:c r="D20" s="2"/>
      <x:c r="E20" s="2"/>
      <x:c r="F20" s="2"/>
    </x:row>
    <x:row r="21">
      <x:c r="A21" s="2"/>
      <x:c r="B21" s="2" t="str">
        <x:v>Facturación antes de margen</x:v>
      </x:c>
      <x:c r="C21" s="34" t="n">
        <x:f>IFERROR((C20+C8)/(1-C9),0)</x:f>
        <x:v>61111.11111111112</x:v>
      </x:c>
      <x:c r="D21" s="2"/>
      <x:c r="E21" s="2"/>
      <x:c r="F21" s="2"/>
    </x:row>
    <x:row r="22">
      <x:c r="A22" s="2"/>
      <x:c r="B22" s="2" t="str">
        <x:v>Horas de trabajo disponibles</x:v>
      </x:c>
      <x:c r="C22" s="35" t="n">
        <x:f>MAX(0,(52-C10)*C11*C12)</x:f>
        <x:v>1762.5</x:v>
      </x:c>
      <x:c r="D22" s="2"/>
      <x:c r="E22" s="2"/>
      <x:c r="F22" s="2"/>
    </x:row>
    <x:row r="23">
      <x:c r="A23" s="2"/>
      <x:c r="B23" s="2" t="str">
        <x:v>Horas facturables disponibles</x:v>
      </x:c>
      <x:c r="C23" s="35" t="n">
        <x:f>MAX(0,C22*(1-C13))</x:f>
        <x:v>1145.625</x:v>
      </x:c>
      <x:c r="D23" s="2"/>
      <x:c r="E23" s="2"/>
      <x:c r="F23" s="2"/>
    </x:row>
    <x:row r="24">
      <x:c r="A24" s="2"/>
      <x:c r="B24" s="2" t="str">
        <x:v>Escenario base por hora</x:v>
      </x:c>
      <x:c r="C24" s="34" t="n">
        <x:f>IFERROR(C21/C23,0)</x:f>
        <x:v>53.34303206643633</x:v>
      </x:c>
      <x:c r="D24" s="2"/>
      <x:c r="E24" s="2"/>
      <x:c r="F24" s="2"/>
    </x:row>
    <x:row r="25">
      <x:c r="A25" s="2"/>
      <x:c r="B25" s="2" t="str">
        <x:v>Escenario con margen por hora</x:v>
      </x:c>
      <x:c r="C25" s="34" t="n">
        <x:f>IFERROR(C24/(1-C14),0)</x:f>
        <x:v>62.7565083134545</x:v>
      </x:c>
      <x:c r="D25" s="2"/>
      <x:c r="E25" s="2"/>
      <x:c r="F25" s="2"/>
    </x:row>
    <x:row r="26">
      <x:c r="A26" s="2"/>
      <x:c r="B26" s="2" t="str">
        <x:v>Escenario con margen por día</x:v>
      </x:c>
      <x:c r="C26" s="36" t="n">
        <x:f>C25*C15</x:f>
        <x:v>376.539049880727</x:v>
      </x:c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2"/>
      <x:c r="B29" s="19" t="str">
        <x:v>Interpretación: el escenario base refleja los objetivos, costes y reserva que introduzcas. El escenario con margen aplica el porcentaje configurado. Son referencias internas y no determinan una tarifa adecuada.</x:v>
      </x:c>
      <x:c r="C29" s="19"/>
      <x:c r="D29" s="19"/>
      <x:c r="E29" s="19"/>
      <x:c r="F29" s="19"/>
    </x:row>
    <x:row r="30">
      <x:c r="A30" s="2"/>
      <x:c r="B30" s="19"/>
      <x:c r="C30" s="19"/>
      <x:c r="D30" s="19"/>
      <x:c r="E30" s="19"/>
      <x:c r="F30" s="19"/>
    </x:row>
    <x:row r="31">
      <x:c r="A31" s="2"/>
      <x:c r="B31" s="19"/>
      <x:c r="C31" s="19"/>
      <x:c r="D31" s="19"/>
      <x:c r="E31" s="19"/>
      <x:c r="F31" s="19"/>
    </x:row>
    <x:row r="32">
      <x:c r="A32" s="2"/>
      <x:c r="B32" s="2"/>
      <x:c r="C32" s="2"/>
      <x:c r="D32" s="2"/>
      <x:c r="E32" s="2"/>
      <x:c r="F32" s="2"/>
    </x:row>
    <x:row r="33">
      <x:c r="A33" s="2"/>
      <x:c r="B33" s="2"/>
      <x:c r="C33" s="2"/>
      <x:c r="D33" s="2"/>
      <x:c r="E33" s="2"/>
      <x:c r="F33" s="2"/>
    </x:row>
    <x:row r="34">
      <x:c r="A34" s="2"/>
      <x:c r="B34" s="2"/>
      <x:c r="C34" s="2"/>
      <x:c r="D34" s="2"/>
      <x:c r="E34" s="2"/>
      <x:c r="F34" s="2"/>
    </x:row>
    <x:row r="35">
      <x:c r="A35" s="2"/>
      <x:c r="B35" s="2"/>
      <x:c r="C35" s="2"/>
      <x:c r="D35" s="2"/>
      <x:c r="E35" s="2"/>
      <x:c r="F35" s="2"/>
    </x:row>
  </x:sheetData>
  <x:mergeCells>
    <x:mergeCell ref="A1:F1"/>
    <x:mergeCell ref="A2:F2"/>
    <x:mergeCell ref="B5:C5"/>
    <x:mergeCell ref="B19:C19"/>
    <x:mergeCell ref="B29:F31"/>
  </x:mergeCells>
  <x:dataValidations count="10">
    <x:dataValidation type="decimal" operator="greaterThan" sqref="C6">
      <x:formula1>0</x:formula1>
    </x:dataValidation>
    <x:dataValidation type="whole" operator="between" sqref="C7">
      <x:formula1>1</x:formula1>
      <x:formula2>12</x:formula2>
    </x:dataValidation>
    <x:dataValidation type="decimal" operator="greaterThanOrEqual" sqref="C8">
      <x:formula1>0</x:formula1>
    </x:dataValidation>
    <x:dataValidation type="decimal" operator="between" sqref="C9">
      <x:formula1>0</x:formula1>
      <x:formula2>0.9</x:formula2>
    </x:dataValidation>
    <x:dataValidation type="decimal" operator="between" sqref="C10">
      <x:formula1>0</x:formula1>
      <x:formula2>52</x:formula2>
    </x:dataValidation>
    <x:dataValidation type="decimal" operator="between" sqref="C11">
      <x:formula1>1</x:formula1>
      <x:formula2>7</x:formula2>
    </x:dataValidation>
    <x:dataValidation type="decimal" operator="between" sqref="C12">
      <x:formula1>0.1</x:formula1>
      <x:formula2>24</x:formula2>
    </x:dataValidation>
    <x:dataValidation type="decimal" operator="between" sqref="C13:C14">
      <x:formula1>0</x:formula1>
      <x:formula2>0.9</x:formula2>
    </x:dataValidation>
    <x:dataValidation type="decimal" operator="between" sqref="C15">
      <x:formula1>0.1</x:formula1>
      <x:formula2>24</x:formula2>
    </x:dataValidation>
    <x:dataValidation type="decimal" operator="between" sqref="C16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" hidden="0" customWidth="1"/>
  </x:cols>
  <x:sheetData>
    <x:row r="1" ht="34" customHeight="1">
      <x:c r="A1" s="4" t="str">
        <x:v>ESCENARIOS DE TARIFA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7" t="str">
        <x:v>Resultados basados en DATOS; compara escenarios antes de fijar precios.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41" t="str">
        <x:v>ESCENARIO BASE / H</x:v>
      </x:c>
      <x:c r="B4" s="42"/>
      <x:c r="C4" s="43"/>
      <x:c r="D4" s="41" t="str">
        <x:v>ESCENARIO CON MARGEN / H</x:v>
      </x:c>
      <x:c r="E4" s="42"/>
      <x:c r="F4" s="43"/>
      <x:c r="G4" s="41" t="str">
        <x:v>ESCENARIO DÍA</x:v>
      </x:c>
      <x:c r="H4" s="42"/>
      <x:c r="I4" s="43"/>
      <x:c r="J4" s="41" t="str">
        <x:v>OBJETIVO CONFIGURADO</x:v>
      </x:c>
      <x:c r="K4" s="42"/>
      <x:c r="L4" s="43"/>
      <x:c r="M4" s="2"/>
    </x:row>
    <x:row r="5" ht="30" customHeight="1">
      <x:c r="A5" s="58" t="n">
        <x:f>'DATOS'!C24</x:f>
        <x:v>53.34303206643633</x:v>
      </x:c>
      <x:c r="B5" s="59"/>
      <x:c r="C5" s="60"/>
      <x:c r="D5" s="58" t="n">
        <x:f>'DATOS'!C25</x:f>
        <x:v>62.7565083134545</x:v>
      </x:c>
      <x:c r="E5" s="59"/>
      <x:c r="F5" s="60"/>
      <x:c r="G5" s="58" t="n">
        <x:f>'DATOS'!C26</x:f>
        <x:v>376.539049880727</x:v>
      </x:c>
      <x:c r="H5" s="59"/>
      <x:c r="I5" s="60"/>
      <x:c r="J5" s="58" t="n">
        <x:f>'DATOS'!C21/(1-'DATOS'!C14)</x:f>
        <x:v>71895.42483660132</x:v>
      </x:c>
      <x:c r="K5" s="59"/>
      <x:c r="L5" s="60"/>
      <x:c r="M5" s="2"/>
    </x:row>
    <x:row r="6" ht="30" customHeight="1">
      <x:c r="A6" s="61"/>
      <x:c r="B6" s="62"/>
      <x:c r="C6" s="63"/>
      <x:c r="D6" s="61"/>
      <x:c r="E6" s="62"/>
      <x:c r="F6" s="63"/>
      <x:c r="G6" s="61"/>
      <x:c r="H6" s="62"/>
      <x:c r="I6" s="63"/>
      <x:c r="J6" s="61"/>
      <x:c r="K6" s="62"/>
      <x:c r="L6" s="63"/>
      <x:c r="M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4" customHeight="1">
      <x:c r="A10" s="8" t="str">
        <x:v>ESCENARIOS DE OCUPACIÓN</x:v>
      </x:c>
      <x:c r="B10" s="8"/>
      <x:c r="C10" s="8"/>
      <x:c r="D10" s="8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32" customHeight="1">
      <x:c r="A11" s="67" t="str">
        <x:v>% facturable</x:v>
      </x:c>
      <x:c r="B11" s="67" t="str">
        <x:v>Horas facturables</x:v>
      </x:c>
      <x:c r="C11" s="67" t="str">
        <x:v>Facturación anual</x:v>
      </x:c>
      <x:c r="D11" s="67" t="str">
        <x:v>Facturación mensual</x:v>
      </x:c>
      <x:c r="E11" s="2"/>
      <x:c r="F11" s="2"/>
      <x:c r="G11" s="2"/>
      <x:c r="H11" s="2"/>
      <x:c r="I11" s="2"/>
      <x:c r="J11" s="2"/>
      <x:c r="K11" s="2"/>
      <x:c r="L11" s="2"/>
      <x:c r="M11" s="2"/>
    </x:row>
    <x:row r="12">
      <x:c r="A12" s="133" t="n">
        <x:v>0.5</x:v>
      </x:c>
      <x:c r="B12" s="73" t="n">
        <x:f>'DATOS'!$C$22*A12</x:f>
        <x:v>881.25</x:v>
      </x:c>
      <x:c r="C12" s="74" t="n">
        <x:f>B12*'DATOS'!$C$25</x:f>
        <x:v>55304.17295123178</x:v>
      </x:c>
      <x:c r="D12" s="75" t="n">
        <x:f>C12/12</x:f>
        <x:v>4608.681079269315</x:v>
      </x:c>
      <x:c r="E12" s="2"/>
      <x:c r="F12" s="2"/>
      <x:c r="G12" s="2"/>
      <x:c r="H12" s="2"/>
      <x:c r="I12" s="2"/>
      <x:c r="J12" s="2"/>
      <x:c r="K12" s="2"/>
      <x:c r="L12" s="2"/>
      <x:c r="M12" s="2"/>
    </x:row>
    <x:row r="13">
      <x:c r="A13" s="134" t="n">
        <x:v>0.6</x:v>
      </x:c>
      <x:c r="B13" s="76" t="n">
        <x:f>'DATOS'!$C$22*A13</x:f>
        <x:v>1057.5</x:v>
      </x:c>
      <x:c r="C13" s="77" t="n">
        <x:f>B13*'DATOS'!$C$25</x:f>
        <x:v>66365.00754147813</x:v>
      </x:c>
      <x:c r="D13" s="78" t="n">
        <x:f>C13/12</x:f>
        <x:v>5530.417295123178</x:v>
      </x:c>
      <x:c r="E13" s="2"/>
      <x:c r="F13" s="2"/>
      <x:c r="G13" s="2"/>
      <x:c r="H13" s="2"/>
      <x:c r="I13" s="2"/>
      <x:c r="J13" s="2"/>
      <x:c r="K13" s="2"/>
      <x:c r="L13" s="2"/>
      <x:c r="M13" s="2"/>
    </x:row>
    <x:row r="14">
      <x:c r="A14" s="134" t="n">
        <x:v>0.7</x:v>
      </x:c>
      <x:c r="B14" s="76" t="n">
        <x:f>'DATOS'!$C$22*A14</x:f>
        <x:v>1233.75</x:v>
      </x:c>
      <x:c r="C14" s="77" t="n">
        <x:f>B14*'DATOS'!$C$25</x:f>
        <x:v>77425.8421317245</x:v>
      </x:c>
      <x:c r="D14" s="78" t="n">
        <x:f>C14/12</x:f>
        <x:v>6452.153510977041</x:v>
      </x:c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135" t="n">
        <x:v>0.8</x:v>
      </x:c>
      <x:c r="B15" s="79" t="n">
        <x:f>'DATOS'!$C$22*A15</x:f>
        <x:v>1410</x:v>
      </x:c>
      <x:c r="C15" s="80" t="n">
        <x:f>B15*'DATOS'!$C$25</x:f>
        <x:v>88486.67672197086</x:v>
      </x:c>
      <x:c r="D15" s="81" t="n">
        <x:f>C15/12</x:f>
        <x:v>7373.889726830905</x:v>
      </x:c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4" customHeight="1">
      <x:c r="A19" s="8" t="str">
        <x:v>REFERENCIAS RÁPIDAS</x:v>
      </x:c>
      <x:c r="B19" s="8"/>
      <x:c r="C19" s="8"/>
      <x:c r="D19" s="8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 t="str">
        <x:v>Precio 10 h</x:v>
      </x:c>
      <x:c r="B20" s="33" t="n">
        <x:f>'DATOS'!C25*10</x:f>
        <x:v>627.565083134545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A21" s="2" t="str">
        <x:v>Precio 20 h</x:v>
      </x:c>
      <x:c r="B21" s="34" t="n">
        <x:f>'DATOS'!C25*20</x:f>
        <x:v>1255.13016626909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 t="str">
        <x:v>Precio 40 h</x:v>
      </x:c>
      <x:c r="B22" s="34" t="n">
        <x:f>'DATOS'!C25*40</x:f>
        <x:v>2510.26033253818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 t="str">
        <x:v>Retainer 2 días/mes</x:v>
      </x:c>
      <x:c r="B23" s="36" t="n">
        <x:f>'DATOS'!C26*2</x:f>
        <x:v>753.078099761454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</x:sheetData>
  <x:mergeCells>
    <x:mergeCell ref="A1:M1"/>
    <x:mergeCell ref="A2:M2"/>
    <x:mergeCell ref="A4:C4"/>
    <x:mergeCell ref="A5:C6"/>
    <x:mergeCell ref="D4:F4"/>
    <x:mergeCell ref="D5:F6"/>
    <x:mergeCell ref="G4:I4"/>
    <x:mergeCell ref="G5:I6"/>
    <x:mergeCell ref="J4:L4"/>
    <x:mergeCell ref="J5:L6"/>
    <x:mergeCell ref="A10:D10"/>
    <x:mergeCell ref="A19:D19"/>
  </x:mergeCells>
  <x:dataValidations count="1">
    <x:dataValidation type="decimal" operator="between" sqref="A12:A15">
      <x:formula1>0.05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f2b7b33290034a8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5" hidden="0" customWidth="1"/>
    <x:col min="8" max="8" width="17" hidden="0" customWidth="1"/>
    <x:col min="9" max="9" width="17" hidden="0" customWidth="1"/>
    <x:col min="10" max="10" width="16" hidden="0" customWidth="1"/>
    <x:col min="11" max="11" width="13" hidden="0" customWidth="1"/>
  </x:cols>
  <x:sheetData>
    <x:row r="1" ht="34" customHeight="1">
      <x:c r="A1" s="4" t="str">
        <x:v>PROYECTOS · PRESUPUESTO Y MARGEN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4" customHeight="1">
      <x:c r="A2" s="7" t="str">
        <x:v>Los escenarios de tarifa y precio, el coste registrado y el margen se calculan a partir de los valores introducidos.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67" t="str">
        <x:v>Proyecto</x:v>
      </x:c>
      <x:c r="B7" s="67" t="str">
        <x:v>Cliente</x:v>
      </x:c>
      <x:c r="C7" s="67" t="str">
        <x:v>Horas estimadas</x:v>
      </x:c>
      <x:c r="D7" s="67" t="str">
        <x:v>Horas registradas</x:v>
      </x:c>
      <x:c r="E7" s="67" t="str">
        <x:v>Gastos directos</x:v>
      </x:c>
      <x:c r="F7" s="67" t="str">
        <x:v>Estado</x:v>
      </x:c>
      <x:c r="G7" s="67" t="str">
        <x:v>Tarifa / h</x:v>
      </x:c>
      <x:c r="H7" s="67" t="str">
        <x:v>Escenario de precio</x:v>
      </x:c>
      <x:c r="I7" s="67" t="str">
        <x:v>Coste registrado</x:v>
      </x:c>
      <x:c r="J7" s="67" t="str">
        <x:v>Beneficio</x:v>
      </x:c>
      <x:c r="K7" s="67" t="str">
        <x:v>Margen</x:v>
      </x:c>
    </x:row>
    <x:row r="8">
      <x:c r="A8" s="82" t="str">
        <x:v>Identidad visual</x:v>
      </x:c>
      <x:c r="B8" s="83" t="str">
        <x:v>Estudio Alba</x:v>
      </x:c>
      <x:c r="C8" s="83" t="n">
        <x:v>24</x:v>
      </x:c>
      <x:c r="D8" s="83" t="n">
        <x:v>27</x:v>
      </x:c>
      <x:c r="E8" s="100" t="n">
        <x:v>180</x:v>
      </x:c>
      <x:c r="F8" s="101" t="str">
        <x:v>Terminado</x:v>
      </x:c>
      <x:c r="G8" s="102" t="n">
        <x:f>IF($A8="","",'DATOS'!$C$25)</x:f>
        <x:v>62.7565083134545</x:v>
      </x:c>
      <x:c r="H8" s="74" t="n">
        <x:f>IF($A8="","",($C8*$G8+$E8)*(1+'DATOS'!$C$16))</x:f>
        <x:v>1854.771819475199</x:v>
      </x:c>
      <x:c r="I8" s="74" t="n">
        <x:f>IF(OR($A8="",$D8=""),"",$D8*'DATOS'!$C$24+$E8)</x:f>
        <x:v>1620.261865793781</x:v>
      </x:c>
      <x:c r="J8" s="74" t="n">
        <x:f>IF(OR($H8="",$I8=""),"",$H8-$I8)</x:f>
        <x:v>234.50995368141798</x:v>
      </x:c>
      <x:c r="K8" s="109" t="n">
        <x:f>IFERROR($J8/$H8,"")</x:f>
        <x:v>0.1264360128933659</x:v>
      </x:c>
    </x:row>
    <x:row r="9">
      <x:c r="A9" s="85" t="str">
        <x:v>Web corporativa</x:v>
      </x:c>
      <x:c r="B9" s="86" t="str">
        <x:v>Clínica Norte</x:v>
      </x:c>
      <x:c r="C9" s="86" t="n">
        <x:v>42</x:v>
      </x:c>
      <x:c r="D9" s="86" t="n">
        <x:v>18</x:v>
      </x:c>
      <x:c r="E9" s="103" t="n">
        <x:v>90</x:v>
      </x:c>
      <x:c r="F9" s="104" t="str">
        <x:v>En curso</x:v>
      </x:c>
      <x:c r="G9" s="105" t="n">
        <x:f>IF($A9="","",'DATOS'!$C$25)</x:f>
        <x:v>62.7565083134545</x:v>
      </x:c>
      <x:c r="H9" s="77" t="n">
        <x:f>IF($A9="","",($C9*$G9+$E9)*(1+'DATOS'!$C$16))</x:f>
        <x:v>2998.3506840815985</x:v>
      </x:c>
      <x:c r="I9" s="77" t="n">
        <x:f>IF(OR($A9="",$D9=""),"",$D9*'DATOS'!$C$24+$E9)</x:f>
        <x:v>1050.174577195854</x:v>
      </x:c>
      <x:c r="J9" s="77" t="n">
        <x:f>IF(OR($H9="",$I9=""),"",$H9-$I9)</x:f>
        <x:v>1948.1761068857445</x:v>
      </x:c>
      <x:c r="K9" s="110" t="n">
        <x:f>IFERROR($J9/$H9,"")</x:f>
        <x:v>0.6497492495553352</x:v>
      </x:c>
    </x:row>
    <x:row r="10">
      <x:c r="A10" s="85" t="str">
        <x:v>Consultoría mensual</x:v>
      </x:c>
      <x:c r="B10" s="86" t="str">
        <x:v>Taller Uno</x:v>
      </x:c>
      <x:c r="C10" s="86" t="n">
        <x:v>12</x:v>
      </x:c>
      <x:c r="D10" s="86"/>
      <x:c r="E10" s="103" t="n">
        <x:v>0</x:v>
      </x:c>
      <x:c r="F10" s="104" t="str">
        <x:v>Propuesta</x:v>
      </x:c>
      <x:c r="G10" s="105" t="n">
        <x:f>IF($A10="","",'DATOS'!$C$25)</x:f>
        <x:v>62.7565083134545</x:v>
      </x:c>
      <x:c r="H10" s="77" t="n">
        <x:f>IF($A10="","",($C10*$G10+$E10)*(1+'DATOS'!$C$16))</x:f>
        <x:v>828.3859097375995</x:v>
      </x:c>
      <x:c r="I10" s="77" t="str">
        <x:f>IF(OR($A10="",$D10=""),"",$D10*'DATOS'!$C$24+$E10)</x:f>
      </x:c>
      <x:c r="J10" s="77" t="str">
        <x:f>IF(OR($H10="",$I10=""),"",$H10-$I10)</x:f>
      </x:c>
      <x:c r="K10" s="110" t="n">
        <x:f>IFERROR($J10/$H10,"")</x:f>
        <x:v>0</x:v>
      </x:c>
    </x:row>
    <x:row r="11">
      <x:c r="A11" s="85"/>
      <x:c r="B11" s="86"/>
      <x:c r="C11" s="86"/>
      <x:c r="D11" s="86"/>
      <x:c r="E11" s="103"/>
      <x:c r="F11" s="104"/>
      <x:c r="G11" s="105" t="str">
        <x:f>IF($A11="","",'DATOS'!$C$25)</x:f>
      </x:c>
      <x:c r="H11" s="77" t="str">
        <x:f>IF($A11="","",($C11*$G11+$E11)*(1+'DATOS'!$C$16))</x:f>
      </x:c>
      <x:c r="I11" s="77" t="str">
        <x:f>IF(OR($A11="",$D11=""),"",$D11*'DATOS'!$C$24+$E11)</x:f>
      </x:c>
      <x:c r="J11" s="77" t="str">
        <x:f>IF(OR($H11="",$I11=""),"",$H11-$I11)</x:f>
      </x:c>
      <x:c r="K11" s="110" t="str">
        <x:f>IFERROR($J11/$H11,"")</x:f>
      </x:c>
    </x:row>
    <x:row r="12">
      <x:c r="A12" s="85"/>
      <x:c r="B12" s="86"/>
      <x:c r="C12" s="86"/>
      <x:c r="D12" s="86"/>
      <x:c r="E12" s="103"/>
      <x:c r="F12" s="104"/>
      <x:c r="G12" s="105" t="str">
        <x:f>IF($A12="","",'DATOS'!$C$25)</x:f>
      </x:c>
      <x:c r="H12" s="77" t="str">
        <x:f>IF($A12="","",($C12*$G12+$E12)*(1+'DATOS'!$C$16))</x:f>
      </x:c>
      <x:c r="I12" s="77" t="str">
        <x:f>IF(OR($A12="",$D12=""),"",$D12*'DATOS'!$C$24+$E12)</x:f>
      </x:c>
      <x:c r="J12" s="77" t="str">
        <x:f>IF(OR($H12="",$I12=""),"",$H12-$I12)</x:f>
      </x:c>
      <x:c r="K12" s="110" t="str">
        <x:f>IFERROR($J12/$H12,"")</x:f>
      </x:c>
    </x:row>
    <x:row r="13">
      <x:c r="A13" s="85"/>
      <x:c r="B13" s="86"/>
      <x:c r="C13" s="86"/>
      <x:c r="D13" s="86"/>
      <x:c r="E13" s="103"/>
      <x:c r="F13" s="104"/>
      <x:c r="G13" s="105" t="str">
        <x:f>IF($A13="","",'DATOS'!$C$25)</x:f>
      </x:c>
      <x:c r="H13" s="77" t="str">
        <x:f>IF($A13="","",($C13*$G13+$E13)*(1+'DATOS'!$C$16))</x:f>
      </x:c>
      <x:c r="I13" s="77" t="str">
        <x:f>IF(OR($A13="",$D13=""),"",$D13*'DATOS'!$C$24+$E13)</x:f>
      </x:c>
      <x:c r="J13" s="77" t="str">
        <x:f>IF(OR($H13="",$I13=""),"",$H13-$I13)</x:f>
      </x:c>
      <x:c r="K13" s="110" t="str">
        <x:f>IFERROR($J13/$H13,"")</x:f>
      </x:c>
    </x:row>
    <x:row r="14">
      <x:c r="A14" s="85"/>
      <x:c r="B14" s="86"/>
      <x:c r="C14" s="86"/>
      <x:c r="D14" s="86"/>
      <x:c r="E14" s="103"/>
      <x:c r="F14" s="104"/>
      <x:c r="G14" s="105" t="str">
        <x:f>IF($A14="","",'DATOS'!$C$25)</x:f>
      </x:c>
      <x:c r="H14" s="77" t="str">
        <x:f>IF($A14="","",($C14*$G14+$E14)*(1+'DATOS'!$C$16))</x:f>
      </x:c>
      <x:c r="I14" s="77" t="str">
        <x:f>IF(OR($A14="",$D14=""),"",$D14*'DATOS'!$C$24+$E14)</x:f>
      </x:c>
      <x:c r="J14" s="77" t="str">
        <x:f>IF(OR($H14="",$I14=""),"",$H14-$I14)</x:f>
      </x:c>
      <x:c r="K14" s="110" t="str">
        <x:f>IFERROR($J14/$H14,"")</x:f>
      </x:c>
    </x:row>
    <x:row r="15">
      <x:c r="A15" s="85"/>
      <x:c r="B15" s="86"/>
      <x:c r="C15" s="86"/>
      <x:c r="D15" s="86"/>
      <x:c r="E15" s="103"/>
      <x:c r="F15" s="104"/>
      <x:c r="G15" s="105" t="str">
        <x:f>IF($A15="","",'DATOS'!$C$25)</x:f>
      </x:c>
      <x:c r="H15" s="77" t="str">
        <x:f>IF($A15="","",($C15*$G15+$E15)*(1+'DATOS'!$C$16))</x:f>
      </x:c>
      <x:c r="I15" s="77" t="str">
        <x:f>IF(OR($A15="",$D15=""),"",$D15*'DATOS'!$C$24+$E15)</x:f>
      </x:c>
      <x:c r="J15" s="77" t="str">
        <x:f>IF(OR($H15="",$I15=""),"",$H15-$I15)</x:f>
      </x:c>
      <x:c r="K15" s="110" t="str">
        <x:f>IFERROR($J15/$H15,"")</x:f>
      </x:c>
    </x:row>
    <x:row r="16">
      <x:c r="A16" s="85"/>
      <x:c r="B16" s="86"/>
      <x:c r="C16" s="86"/>
      <x:c r="D16" s="86"/>
      <x:c r="E16" s="103"/>
      <x:c r="F16" s="104"/>
      <x:c r="G16" s="105" t="str">
        <x:f>IF($A16="","",'DATOS'!$C$25)</x:f>
      </x:c>
      <x:c r="H16" s="77" t="str">
        <x:f>IF($A16="","",($C16*$G16+$E16)*(1+'DATOS'!$C$16))</x:f>
      </x:c>
      <x:c r="I16" s="77" t="str">
        <x:f>IF(OR($A16="",$D16=""),"",$D16*'DATOS'!$C$24+$E16)</x:f>
      </x:c>
      <x:c r="J16" s="77" t="str">
        <x:f>IF(OR($H16="",$I16=""),"",$H16-$I16)</x:f>
      </x:c>
      <x:c r="K16" s="110" t="str">
        <x:f>IFERROR($J16/$H16,"")</x:f>
      </x:c>
    </x:row>
    <x:row r="17">
      <x:c r="A17" s="85"/>
      <x:c r="B17" s="86"/>
      <x:c r="C17" s="86"/>
      <x:c r="D17" s="86"/>
      <x:c r="E17" s="103"/>
      <x:c r="F17" s="104"/>
      <x:c r="G17" s="105" t="str">
        <x:f>IF($A17="","",'DATOS'!$C$25)</x:f>
      </x:c>
      <x:c r="H17" s="77" t="str">
        <x:f>IF($A17="","",($C17*$G17+$E17)*(1+'DATOS'!$C$16))</x:f>
      </x:c>
      <x:c r="I17" s="77" t="str">
        <x:f>IF(OR($A17="",$D17=""),"",$D17*'DATOS'!$C$24+$E17)</x:f>
      </x:c>
      <x:c r="J17" s="77" t="str">
        <x:f>IF(OR($H17="",$I17=""),"",$H17-$I17)</x:f>
      </x:c>
      <x:c r="K17" s="110" t="str">
        <x:f>IFERROR($J17/$H17,"")</x:f>
      </x:c>
    </x:row>
    <x:row r="18">
      <x:c r="A18" s="85"/>
      <x:c r="B18" s="86"/>
      <x:c r="C18" s="86"/>
      <x:c r="D18" s="86"/>
      <x:c r="E18" s="103"/>
      <x:c r="F18" s="104"/>
      <x:c r="G18" s="105" t="str">
        <x:f>IF($A18="","",'DATOS'!$C$25)</x:f>
      </x:c>
      <x:c r="H18" s="77" t="str">
        <x:f>IF($A18="","",($C18*$G18+$E18)*(1+'DATOS'!$C$16))</x:f>
      </x:c>
      <x:c r="I18" s="77" t="str">
        <x:f>IF(OR($A18="",$D18=""),"",$D18*'DATOS'!$C$24+$E18)</x:f>
      </x:c>
      <x:c r="J18" s="77" t="str">
        <x:f>IF(OR($H18="",$I18=""),"",$H18-$I18)</x:f>
      </x:c>
      <x:c r="K18" s="110" t="str">
        <x:f>IFERROR($J18/$H18,"")</x:f>
      </x:c>
    </x:row>
    <x:row r="19">
      <x:c r="A19" s="85"/>
      <x:c r="B19" s="86"/>
      <x:c r="C19" s="86"/>
      <x:c r="D19" s="86"/>
      <x:c r="E19" s="103"/>
      <x:c r="F19" s="104"/>
      <x:c r="G19" s="105" t="str">
        <x:f>IF($A19="","",'DATOS'!$C$25)</x:f>
      </x:c>
      <x:c r="H19" s="77" t="str">
        <x:f>IF($A19="","",($C19*$G19+$E19)*(1+'DATOS'!$C$16))</x:f>
      </x:c>
      <x:c r="I19" s="77" t="str">
        <x:f>IF(OR($A19="",$D19=""),"",$D19*'DATOS'!$C$24+$E19)</x:f>
      </x:c>
      <x:c r="J19" s="77" t="str">
        <x:f>IF(OR($H19="",$I19=""),"",$H19-$I19)</x:f>
      </x:c>
      <x:c r="K19" s="110" t="str">
        <x:f>IFERROR($J19/$H19,"")</x:f>
      </x:c>
    </x:row>
    <x:row r="20">
      <x:c r="A20" s="85"/>
      <x:c r="B20" s="86"/>
      <x:c r="C20" s="86"/>
      <x:c r="D20" s="86"/>
      <x:c r="E20" s="103"/>
      <x:c r="F20" s="104"/>
      <x:c r="G20" s="105" t="str">
        <x:f>IF($A20="","",'DATOS'!$C$25)</x:f>
      </x:c>
      <x:c r="H20" s="77" t="str">
        <x:f>IF($A20="","",($C20*$G20+$E20)*(1+'DATOS'!$C$16))</x:f>
      </x:c>
      <x:c r="I20" s="77" t="str">
        <x:f>IF(OR($A20="",$D20=""),"",$D20*'DATOS'!$C$24+$E20)</x:f>
      </x:c>
      <x:c r="J20" s="77" t="str">
        <x:f>IF(OR($H20="",$I20=""),"",$H20-$I20)</x:f>
      </x:c>
      <x:c r="K20" s="110" t="str">
        <x:f>IFERROR($J20/$H20,"")</x:f>
      </x:c>
    </x:row>
    <x:row r="21">
      <x:c r="A21" s="85"/>
      <x:c r="B21" s="86"/>
      <x:c r="C21" s="86"/>
      <x:c r="D21" s="86"/>
      <x:c r="E21" s="103"/>
      <x:c r="F21" s="104"/>
      <x:c r="G21" s="105" t="str">
        <x:f>IF($A21="","",'DATOS'!$C$25)</x:f>
      </x:c>
      <x:c r="H21" s="77" t="str">
        <x:f>IF($A21="","",($C21*$G21+$E21)*(1+'DATOS'!$C$16))</x:f>
      </x:c>
      <x:c r="I21" s="77" t="str">
        <x:f>IF(OR($A21="",$D21=""),"",$D21*'DATOS'!$C$24+$E21)</x:f>
      </x:c>
      <x:c r="J21" s="77" t="str">
        <x:f>IF(OR($H21="",$I21=""),"",$H21-$I21)</x:f>
      </x:c>
      <x:c r="K21" s="110" t="str">
        <x:f>IFERROR($J21/$H21,"")</x:f>
      </x:c>
    </x:row>
    <x:row r="22">
      <x:c r="A22" s="85"/>
      <x:c r="B22" s="86"/>
      <x:c r="C22" s="86"/>
      <x:c r="D22" s="86"/>
      <x:c r="E22" s="103"/>
      <x:c r="F22" s="104"/>
      <x:c r="G22" s="105" t="str">
        <x:f>IF($A22="","",'DATOS'!$C$25)</x:f>
      </x:c>
      <x:c r="H22" s="77" t="str">
        <x:f>IF($A22="","",($C22*$G22+$E22)*(1+'DATOS'!$C$16))</x:f>
      </x:c>
      <x:c r="I22" s="77" t="str">
        <x:f>IF(OR($A22="",$D22=""),"",$D22*'DATOS'!$C$24+$E22)</x:f>
      </x:c>
      <x:c r="J22" s="77" t="str">
        <x:f>IF(OR($H22="",$I22=""),"",$H22-$I22)</x:f>
      </x:c>
      <x:c r="K22" s="110" t="str">
        <x:f>IFERROR($J22/$H22,"")</x:f>
      </x:c>
    </x:row>
    <x:row r="23">
      <x:c r="A23" s="85"/>
      <x:c r="B23" s="86"/>
      <x:c r="C23" s="86"/>
      <x:c r="D23" s="86"/>
      <x:c r="E23" s="103"/>
      <x:c r="F23" s="104"/>
      <x:c r="G23" s="105" t="str">
        <x:f>IF($A23="","",'DATOS'!$C$25)</x:f>
      </x:c>
      <x:c r="H23" s="77" t="str">
        <x:f>IF($A23="","",($C23*$G23+$E23)*(1+'DATOS'!$C$16))</x:f>
      </x:c>
      <x:c r="I23" s="77" t="str">
        <x:f>IF(OR($A23="",$D23=""),"",$D23*'DATOS'!$C$24+$E23)</x:f>
      </x:c>
      <x:c r="J23" s="77" t="str">
        <x:f>IF(OR($H23="",$I23=""),"",$H23-$I23)</x:f>
      </x:c>
      <x:c r="K23" s="110" t="str">
        <x:f>IFERROR($J23/$H23,"")</x:f>
      </x:c>
    </x:row>
    <x:row r="24">
      <x:c r="A24" s="85"/>
      <x:c r="B24" s="86"/>
      <x:c r="C24" s="86"/>
      <x:c r="D24" s="86"/>
      <x:c r="E24" s="103"/>
      <x:c r="F24" s="104"/>
      <x:c r="G24" s="105" t="str">
        <x:f>IF($A24="","",'DATOS'!$C$25)</x:f>
      </x:c>
      <x:c r="H24" s="77" t="str">
        <x:f>IF($A24="","",($C24*$G24+$E24)*(1+'DATOS'!$C$16))</x:f>
      </x:c>
      <x:c r="I24" s="77" t="str">
        <x:f>IF(OR($A24="",$D24=""),"",$D24*'DATOS'!$C$24+$E24)</x:f>
      </x:c>
      <x:c r="J24" s="77" t="str">
        <x:f>IF(OR($H24="",$I24=""),"",$H24-$I24)</x:f>
      </x:c>
      <x:c r="K24" s="110" t="str">
        <x:f>IFERROR($J24/$H24,"")</x:f>
      </x:c>
    </x:row>
    <x:row r="25">
      <x:c r="A25" s="85"/>
      <x:c r="B25" s="86"/>
      <x:c r="C25" s="86"/>
      <x:c r="D25" s="86"/>
      <x:c r="E25" s="103"/>
      <x:c r="F25" s="104"/>
      <x:c r="G25" s="105" t="str">
        <x:f>IF($A25="","",'DATOS'!$C$25)</x:f>
      </x:c>
      <x:c r="H25" s="77" t="str">
        <x:f>IF($A25="","",($C25*$G25+$E25)*(1+'DATOS'!$C$16))</x:f>
      </x:c>
      <x:c r="I25" s="77" t="str">
        <x:f>IF(OR($A25="",$D25=""),"",$D25*'DATOS'!$C$24+$E25)</x:f>
      </x:c>
      <x:c r="J25" s="77" t="str">
        <x:f>IF(OR($H25="",$I25=""),"",$H25-$I25)</x:f>
      </x:c>
      <x:c r="K25" s="110" t="str">
        <x:f>IFERROR($J25/$H25,"")</x:f>
      </x:c>
    </x:row>
    <x:row r="26">
      <x:c r="A26" s="85"/>
      <x:c r="B26" s="86"/>
      <x:c r="C26" s="86"/>
      <x:c r="D26" s="86"/>
      <x:c r="E26" s="103"/>
      <x:c r="F26" s="104"/>
      <x:c r="G26" s="105" t="str">
        <x:f>IF($A26="","",'DATOS'!$C$25)</x:f>
      </x:c>
      <x:c r="H26" s="77" t="str">
        <x:f>IF($A26="","",($C26*$G26+$E26)*(1+'DATOS'!$C$16))</x:f>
      </x:c>
      <x:c r="I26" s="77" t="str">
        <x:f>IF(OR($A26="",$D26=""),"",$D26*'DATOS'!$C$24+$E26)</x:f>
      </x:c>
      <x:c r="J26" s="77" t="str">
        <x:f>IF(OR($H26="",$I26=""),"",$H26-$I26)</x:f>
      </x:c>
      <x:c r="K26" s="110" t="str">
        <x:f>IFERROR($J26/$H26,"")</x:f>
      </x:c>
    </x:row>
    <x:row r="27">
      <x:c r="A27" s="85"/>
      <x:c r="B27" s="86"/>
      <x:c r="C27" s="86"/>
      <x:c r="D27" s="86"/>
      <x:c r="E27" s="103"/>
      <x:c r="F27" s="104"/>
      <x:c r="G27" s="105" t="str">
        <x:f>IF($A27="","",'DATOS'!$C$25)</x:f>
      </x:c>
      <x:c r="H27" s="77" t="str">
        <x:f>IF($A27="","",($C27*$G27+$E27)*(1+'DATOS'!$C$16))</x:f>
      </x:c>
      <x:c r="I27" s="77" t="str">
        <x:f>IF(OR($A27="",$D27=""),"",$D27*'DATOS'!$C$24+$E27)</x:f>
      </x:c>
      <x:c r="J27" s="77" t="str">
        <x:f>IF(OR($H27="",$I27=""),"",$H27-$I27)</x:f>
      </x:c>
      <x:c r="K27" s="110" t="str">
        <x:f>IFERROR($J27/$H27,"")</x:f>
      </x:c>
    </x:row>
    <x:row r="28">
      <x:c r="A28" s="85"/>
      <x:c r="B28" s="86"/>
      <x:c r="C28" s="86"/>
      <x:c r="D28" s="86"/>
      <x:c r="E28" s="103"/>
      <x:c r="F28" s="104"/>
      <x:c r="G28" s="105" t="str">
        <x:f>IF($A28="","",'DATOS'!$C$25)</x:f>
      </x:c>
      <x:c r="H28" s="77" t="str">
        <x:f>IF($A28="","",($C28*$G28+$E28)*(1+'DATOS'!$C$16))</x:f>
      </x:c>
      <x:c r="I28" s="77" t="str">
        <x:f>IF(OR($A28="",$D28=""),"",$D28*'DATOS'!$C$24+$E28)</x:f>
      </x:c>
      <x:c r="J28" s="77" t="str">
        <x:f>IF(OR($H28="",$I28=""),"",$H28-$I28)</x:f>
      </x:c>
      <x:c r="K28" s="110" t="str">
        <x:f>IFERROR($J28/$H28,"")</x:f>
      </x:c>
    </x:row>
    <x:row r="29">
      <x:c r="A29" s="85"/>
      <x:c r="B29" s="86"/>
      <x:c r="C29" s="86"/>
      <x:c r="D29" s="86"/>
      <x:c r="E29" s="103"/>
      <x:c r="F29" s="104"/>
      <x:c r="G29" s="105" t="str">
        <x:f>IF($A29="","",'DATOS'!$C$25)</x:f>
      </x:c>
      <x:c r="H29" s="77" t="str">
        <x:f>IF($A29="","",($C29*$G29+$E29)*(1+'DATOS'!$C$16))</x:f>
      </x:c>
      <x:c r="I29" s="77" t="str">
        <x:f>IF(OR($A29="",$D29=""),"",$D29*'DATOS'!$C$24+$E29)</x:f>
      </x:c>
      <x:c r="J29" s="77" t="str">
        <x:f>IF(OR($H29="",$I29=""),"",$H29-$I29)</x:f>
      </x:c>
      <x:c r="K29" s="110" t="str">
        <x:f>IFERROR($J29/$H29,"")</x:f>
      </x:c>
    </x:row>
    <x:row r="30">
      <x:c r="A30" s="85"/>
      <x:c r="B30" s="86"/>
      <x:c r="C30" s="86"/>
      <x:c r="D30" s="86"/>
      <x:c r="E30" s="103"/>
      <x:c r="F30" s="104"/>
      <x:c r="G30" s="105" t="str">
        <x:f>IF($A30="","",'DATOS'!$C$25)</x:f>
      </x:c>
      <x:c r="H30" s="77" t="str">
        <x:f>IF($A30="","",($C30*$G30+$E30)*(1+'DATOS'!$C$16))</x:f>
      </x:c>
      <x:c r="I30" s="77" t="str">
        <x:f>IF(OR($A30="",$D30=""),"",$D30*'DATOS'!$C$24+$E30)</x:f>
      </x:c>
      <x:c r="J30" s="77" t="str">
        <x:f>IF(OR($H30="",$I30=""),"",$H30-$I30)</x:f>
      </x:c>
      <x:c r="K30" s="110" t="str">
        <x:f>IFERROR($J30/$H30,"")</x:f>
      </x:c>
    </x:row>
    <x:row r="31">
      <x:c r="A31" s="85"/>
      <x:c r="B31" s="86"/>
      <x:c r="C31" s="86"/>
      <x:c r="D31" s="86"/>
      <x:c r="E31" s="103"/>
      <x:c r="F31" s="104"/>
      <x:c r="G31" s="105" t="str">
        <x:f>IF($A31="","",'DATOS'!$C$25)</x:f>
      </x:c>
      <x:c r="H31" s="77" t="str">
        <x:f>IF($A31="","",($C31*$G31+$E31)*(1+'DATOS'!$C$16))</x:f>
      </x:c>
      <x:c r="I31" s="77" t="str">
        <x:f>IF(OR($A31="",$D31=""),"",$D31*'DATOS'!$C$24+$E31)</x:f>
      </x:c>
      <x:c r="J31" s="77" t="str">
        <x:f>IF(OR($H31="",$I31=""),"",$H31-$I31)</x:f>
      </x:c>
      <x:c r="K31" s="110" t="str">
        <x:f>IFERROR($J31/$H31,"")</x:f>
      </x:c>
    </x:row>
    <x:row r="32">
      <x:c r="A32" s="85"/>
      <x:c r="B32" s="86"/>
      <x:c r="C32" s="86"/>
      <x:c r="D32" s="86"/>
      <x:c r="E32" s="103"/>
      <x:c r="F32" s="104"/>
      <x:c r="G32" s="105" t="str">
        <x:f>IF($A32="","",'DATOS'!$C$25)</x:f>
      </x:c>
      <x:c r="H32" s="77" t="str">
        <x:f>IF($A32="","",($C32*$G32+$E32)*(1+'DATOS'!$C$16))</x:f>
      </x:c>
      <x:c r="I32" s="77" t="str">
        <x:f>IF(OR($A32="",$D32=""),"",$D32*'DATOS'!$C$24+$E32)</x:f>
      </x:c>
      <x:c r="J32" s="77" t="str">
        <x:f>IF(OR($H32="",$I32=""),"",$H32-$I32)</x:f>
      </x:c>
      <x:c r="K32" s="110" t="str">
        <x:f>IFERROR($J32/$H32,"")</x:f>
      </x:c>
    </x:row>
    <x:row r="33">
      <x:c r="A33" s="85"/>
      <x:c r="B33" s="86"/>
      <x:c r="C33" s="86"/>
      <x:c r="D33" s="86"/>
      <x:c r="E33" s="103"/>
      <x:c r="F33" s="104"/>
      <x:c r="G33" s="105" t="str">
        <x:f>IF($A33="","",'DATOS'!$C$25)</x:f>
      </x:c>
      <x:c r="H33" s="77" t="str">
        <x:f>IF($A33="","",($C33*$G33+$E33)*(1+'DATOS'!$C$16))</x:f>
      </x:c>
      <x:c r="I33" s="77" t="str">
        <x:f>IF(OR($A33="",$D33=""),"",$D33*'DATOS'!$C$24+$E33)</x:f>
      </x:c>
      <x:c r="J33" s="77" t="str">
        <x:f>IF(OR($H33="",$I33=""),"",$H33-$I33)</x:f>
      </x:c>
      <x:c r="K33" s="110" t="str">
        <x:f>IFERROR($J33/$H33,"")</x:f>
      </x:c>
    </x:row>
    <x:row r="34">
      <x:c r="A34" s="85"/>
      <x:c r="B34" s="86"/>
      <x:c r="C34" s="86"/>
      <x:c r="D34" s="86"/>
      <x:c r="E34" s="103"/>
      <x:c r="F34" s="104"/>
      <x:c r="G34" s="105" t="str">
        <x:f>IF($A34="","",'DATOS'!$C$25)</x:f>
      </x:c>
      <x:c r="H34" s="77" t="str">
        <x:f>IF($A34="","",($C34*$G34+$E34)*(1+'DATOS'!$C$16))</x:f>
      </x:c>
      <x:c r="I34" s="77" t="str">
        <x:f>IF(OR($A34="",$D34=""),"",$D34*'DATOS'!$C$24+$E34)</x:f>
      </x:c>
      <x:c r="J34" s="77" t="str">
        <x:f>IF(OR($H34="",$I34=""),"",$H34-$I34)</x:f>
      </x:c>
      <x:c r="K34" s="110" t="str">
        <x:f>IFERROR($J34/$H34,"")</x:f>
      </x:c>
    </x:row>
    <x:row r="35">
      <x:c r="A35" s="85"/>
      <x:c r="B35" s="86"/>
      <x:c r="C35" s="86"/>
      <x:c r="D35" s="86"/>
      <x:c r="E35" s="103"/>
      <x:c r="F35" s="104"/>
      <x:c r="G35" s="105" t="str">
        <x:f>IF($A35="","",'DATOS'!$C$25)</x:f>
      </x:c>
      <x:c r="H35" s="77" t="str">
        <x:f>IF($A35="","",($C35*$G35+$E35)*(1+'DATOS'!$C$16))</x:f>
      </x:c>
      <x:c r="I35" s="77" t="str">
        <x:f>IF(OR($A35="",$D35=""),"",$D35*'DATOS'!$C$24+$E35)</x:f>
      </x:c>
      <x:c r="J35" s="77" t="str">
        <x:f>IF(OR($H35="",$I35=""),"",$H35-$I35)</x:f>
      </x:c>
      <x:c r="K35" s="110" t="str">
        <x:f>IFERROR($J35/$H35,"")</x:f>
      </x:c>
    </x:row>
    <x:row r="36">
      <x:c r="A36" s="85"/>
      <x:c r="B36" s="86"/>
      <x:c r="C36" s="86"/>
      <x:c r="D36" s="86"/>
      <x:c r="E36" s="103"/>
      <x:c r="F36" s="104"/>
      <x:c r="G36" s="105" t="str">
        <x:f>IF($A36="","",'DATOS'!$C$25)</x:f>
      </x:c>
      <x:c r="H36" s="77" t="str">
        <x:f>IF($A36="","",($C36*$G36+$E36)*(1+'DATOS'!$C$16))</x:f>
      </x:c>
      <x:c r="I36" s="77" t="str">
        <x:f>IF(OR($A36="",$D36=""),"",$D36*'DATOS'!$C$24+$E36)</x:f>
      </x:c>
      <x:c r="J36" s="77" t="str">
        <x:f>IF(OR($H36="",$I36=""),"",$H36-$I36)</x:f>
      </x:c>
      <x:c r="K36" s="110" t="str">
        <x:f>IFERROR($J36/$H36,"")</x:f>
      </x:c>
    </x:row>
    <x:row r="37">
      <x:c r="A37" s="85"/>
      <x:c r="B37" s="86"/>
      <x:c r="C37" s="86"/>
      <x:c r="D37" s="86"/>
      <x:c r="E37" s="103"/>
      <x:c r="F37" s="104"/>
      <x:c r="G37" s="105" t="str">
        <x:f>IF($A37="","",'DATOS'!$C$25)</x:f>
      </x:c>
      <x:c r="H37" s="77" t="str">
        <x:f>IF($A37="","",($C37*$G37+$E37)*(1+'DATOS'!$C$16))</x:f>
      </x:c>
      <x:c r="I37" s="77" t="str">
        <x:f>IF(OR($A37="",$D37=""),"",$D37*'DATOS'!$C$24+$E37)</x:f>
      </x:c>
      <x:c r="J37" s="77" t="str">
        <x:f>IF(OR($H37="",$I37=""),"",$H37-$I37)</x:f>
      </x:c>
      <x:c r="K37" s="110" t="str">
        <x:f>IFERROR($J37/$H37,"")</x:f>
      </x:c>
    </x:row>
    <x:row r="38">
      <x:c r="A38" s="85"/>
      <x:c r="B38" s="86"/>
      <x:c r="C38" s="86"/>
      <x:c r="D38" s="86"/>
      <x:c r="E38" s="103"/>
      <x:c r="F38" s="104"/>
      <x:c r="G38" s="105" t="str">
        <x:f>IF($A38="","",'DATOS'!$C$25)</x:f>
      </x:c>
      <x:c r="H38" s="77" t="str">
        <x:f>IF($A38="","",($C38*$G38+$E38)*(1+'DATOS'!$C$16))</x:f>
      </x:c>
      <x:c r="I38" s="77" t="str">
        <x:f>IF(OR($A38="",$D38=""),"",$D38*'DATOS'!$C$24+$E38)</x:f>
      </x:c>
      <x:c r="J38" s="77" t="str">
        <x:f>IF(OR($H38="",$I38=""),"",$H38-$I38)</x:f>
      </x:c>
      <x:c r="K38" s="110" t="str">
        <x:f>IFERROR($J38/$H38,"")</x:f>
      </x:c>
    </x:row>
    <x:row r="39">
      <x:c r="A39" s="85"/>
      <x:c r="B39" s="86"/>
      <x:c r="C39" s="86"/>
      <x:c r="D39" s="86"/>
      <x:c r="E39" s="103"/>
      <x:c r="F39" s="104"/>
      <x:c r="G39" s="105" t="str">
        <x:f>IF($A39="","",'DATOS'!$C$25)</x:f>
      </x:c>
      <x:c r="H39" s="77" t="str">
        <x:f>IF($A39="","",($C39*$G39+$E39)*(1+'DATOS'!$C$16))</x:f>
      </x:c>
      <x:c r="I39" s="77" t="str">
        <x:f>IF(OR($A39="",$D39=""),"",$D39*'DATOS'!$C$24+$E39)</x:f>
      </x:c>
      <x:c r="J39" s="77" t="str">
        <x:f>IF(OR($H39="",$I39=""),"",$H39-$I39)</x:f>
      </x:c>
      <x:c r="K39" s="110" t="str">
        <x:f>IFERROR($J39/$H39,"")</x:f>
      </x:c>
    </x:row>
    <x:row r="40">
      <x:c r="A40" s="85"/>
      <x:c r="B40" s="86"/>
      <x:c r="C40" s="86"/>
      <x:c r="D40" s="86"/>
      <x:c r="E40" s="103"/>
      <x:c r="F40" s="104"/>
      <x:c r="G40" s="105" t="str">
        <x:f>IF($A40="","",'DATOS'!$C$25)</x:f>
      </x:c>
      <x:c r="H40" s="77" t="str">
        <x:f>IF($A40="","",($C40*$G40+$E40)*(1+'DATOS'!$C$16))</x:f>
      </x:c>
      <x:c r="I40" s="77" t="str">
        <x:f>IF(OR($A40="",$D40=""),"",$D40*'DATOS'!$C$24+$E40)</x:f>
      </x:c>
      <x:c r="J40" s="77" t="str">
        <x:f>IF(OR($H40="",$I40=""),"",$H40-$I40)</x:f>
      </x:c>
      <x:c r="K40" s="110" t="str">
        <x:f>IFERROR($J40/$H40,"")</x:f>
      </x:c>
    </x:row>
    <x:row r="41">
      <x:c r="A41" s="85"/>
      <x:c r="B41" s="86"/>
      <x:c r="C41" s="86"/>
      <x:c r="D41" s="86"/>
      <x:c r="E41" s="103"/>
      <x:c r="F41" s="104"/>
      <x:c r="G41" s="105" t="str">
        <x:f>IF($A41="","",'DATOS'!$C$25)</x:f>
      </x:c>
      <x:c r="H41" s="77" t="str">
        <x:f>IF($A41="","",($C41*$G41+$E41)*(1+'DATOS'!$C$16))</x:f>
      </x:c>
      <x:c r="I41" s="77" t="str">
        <x:f>IF(OR($A41="",$D41=""),"",$D41*'DATOS'!$C$24+$E41)</x:f>
      </x:c>
      <x:c r="J41" s="77" t="str">
        <x:f>IF(OR($H41="",$I41=""),"",$H41-$I41)</x:f>
      </x:c>
      <x:c r="K41" s="110" t="str">
        <x:f>IFERROR($J41/$H41,"")</x:f>
      </x:c>
    </x:row>
    <x:row r="42">
      <x:c r="A42" s="85"/>
      <x:c r="B42" s="86"/>
      <x:c r="C42" s="86"/>
      <x:c r="D42" s="86"/>
      <x:c r="E42" s="103"/>
      <x:c r="F42" s="104"/>
      <x:c r="G42" s="105" t="str">
        <x:f>IF($A42="","",'DATOS'!$C$25)</x:f>
      </x:c>
      <x:c r="H42" s="77" t="str">
        <x:f>IF($A42="","",($C42*$G42+$E42)*(1+'DATOS'!$C$16))</x:f>
      </x:c>
      <x:c r="I42" s="77" t="str">
        <x:f>IF(OR($A42="",$D42=""),"",$D42*'DATOS'!$C$24+$E42)</x:f>
      </x:c>
      <x:c r="J42" s="77" t="str">
        <x:f>IF(OR($H42="",$I42=""),"",$H42-$I42)</x:f>
      </x:c>
      <x:c r="K42" s="110" t="str">
        <x:f>IFERROR($J42/$H42,"")</x:f>
      </x:c>
    </x:row>
    <x:row r="43">
      <x:c r="A43" s="85"/>
      <x:c r="B43" s="86"/>
      <x:c r="C43" s="86"/>
      <x:c r="D43" s="86"/>
      <x:c r="E43" s="103"/>
      <x:c r="F43" s="104"/>
      <x:c r="G43" s="105" t="str">
        <x:f>IF($A43="","",'DATOS'!$C$25)</x:f>
      </x:c>
      <x:c r="H43" s="77" t="str">
        <x:f>IF($A43="","",($C43*$G43+$E43)*(1+'DATOS'!$C$16))</x:f>
      </x:c>
      <x:c r="I43" s="77" t="str">
        <x:f>IF(OR($A43="",$D43=""),"",$D43*'DATOS'!$C$24+$E43)</x:f>
      </x:c>
      <x:c r="J43" s="77" t="str">
        <x:f>IF(OR($H43="",$I43=""),"",$H43-$I43)</x:f>
      </x:c>
      <x:c r="K43" s="110" t="str">
        <x:f>IFERROR($J43/$H43,"")</x:f>
      </x:c>
    </x:row>
    <x:row r="44">
      <x:c r="A44" s="85"/>
      <x:c r="B44" s="86"/>
      <x:c r="C44" s="86"/>
      <x:c r="D44" s="86"/>
      <x:c r="E44" s="103"/>
      <x:c r="F44" s="104"/>
      <x:c r="G44" s="105" t="str">
        <x:f>IF($A44="","",'DATOS'!$C$25)</x:f>
      </x:c>
      <x:c r="H44" s="77" t="str">
        <x:f>IF($A44="","",($C44*$G44+$E44)*(1+'DATOS'!$C$16))</x:f>
      </x:c>
      <x:c r="I44" s="77" t="str">
        <x:f>IF(OR($A44="",$D44=""),"",$D44*'DATOS'!$C$24+$E44)</x:f>
      </x:c>
      <x:c r="J44" s="77" t="str">
        <x:f>IF(OR($H44="",$I44=""),"",$H44-$I44)</x:f>
      </x:c>
      <x:c r="K44" s="110" t="str">
        <x:f>IFERROR($J44/$H44,"")</x:f>
      </x:c>
    </x:row>
    <x:row r="45">
      <x:c r="A45" s="85"/>
      <x:c r="B45" s="86"/>
      <x:c r="C45" s="86"/>
      <x:c r="D45" s="86"/>
      <x:c r="E45" s="103"/>
      <x:c r="F45" s="104"/>
      <x:c r="G45" s="105" t="str">
        <x:f>IF($A45="","",'DATOS'!$C$25)</x:f>
      </x:c>
      <x:c r="H45" s="77" t="str">
        <x:f>IF($A45="","",($C45*$G45+$E45)*(1+'DATOS'!$C$16))</x:f>
      </x:c>
      <x:c r="I45" s="77" t="str">
        <x:f>IF(OR($A45="",$D45=""),"",$D45*'DATOS'!$C$24+$E45)</x:f>
      </x:c>
      <x:c r="J45" s="77" t="str">
        <x:f>IF(OR($H45="",$I45=""),"",$H45-$I45)</x:f>
      </x:c>
      <x:c r="K45" s="110" t="str">
        <x:f>IFERROR($J45/$H45,"")</x:f>
      </x:c>
    </x:row>
    <x:row r="46">
      <x:c r="A46" s="85"/>
      <x:c r="B46" s="86"/>
      <x:c r="C46" s="86"/>
      <x:c r="D46" s="86"/>
      <x:c r="E46" s="103"/>
      <x:c r="F46" s="104"/>
      <x:c r="G46" s="105" t="str">
        <x:f>IF($A46="","",'DATOS'!$C$25)</x:f>
      </x:c>
      <x:c r="H46" s="77" t="str">
        <x:f>IF($A46="","",($C46*$G46+$E46)*(1+'DATOS'!$C$16))</x:f>
      </x:c>
      <x:c r="I46" s="77" t="str">
        <x:f>IF(OR($A46="",$D46=""),"",$D46*'DATOS'!$C$24+$E46)</x:f>
      </x:c>
      <x:c r="J46" s="77" t="str">
        <x:f>IF(OR($H46="",$I46=""),"",$H46-$I46)</x:f>
      </x:c>
      <x:c r="K46" s="110" t="str">
        <x:f>IFERROR($J46/$H46,"")</x:f>
      </x:c>
    </x:row>
    <x:row r="47">
      <x:c r="A47" s="85"/>
      <x:c r="B47" s="86"/>
      <x:c r="C47" s="86"/>
      <x:c r="D47" s="86"/>
      <x:c r="E47" s="103"/>
      <x:c r="F47" s="104"/>
      <x:c r="G47" s="105" t="str">
        <x:f>IF($A47="","",'DATOS'!$C$25)</x:f>
      </x:c>
      <x:c r="H47" s="77" t="str">
        <x:f>IF($A47="","",($C47*$G47+$E47)*(1+'DATOS'!$C$16))</x:f>
      </x:c>
      <x:c r="I47" s="77" t="str">
        <x:f>IF(OR($A47="",$D47=""),"",$D47*'DATOS'!$C$24+$E47)</x:f>
      </x:c>
      <x:c r="J47" s="77" t="str">
        <x:f>IF(OR($H47="",$I47=""),"",$H47-$I47)</x:f>
      </x:c>
      <x:c r="K47" s="110" t="str">
        <x:f>IFERROR($J47/$H47,"")</x:f>
      </x:c>
    </x:row>
    <x:row r="48">
      <x:c r="A48" s="85"/>
      <x:c r="B48" s="86"/>
      <x:c r="C48" s="86"/>
      <x:c r="D48" s="86"/>
      <x:c r="E48" s="103"/>
      <x:c r="F48" s="104"/>
      <x:c r="G48" s="105" t="str">
        <x:f>IF($A48="","",'DATOS'!$C$25)</x:f>
      </x:c>
      <x:c r="H48" s="77" t="str">
        <x:f>IF($A48="","",($C48*$G48+$E48)*(1+'DATOS'!$C$16))</x:f>
      </x:c>
      <x:c r="I48" s="77" t="str">
        <x:f>IF(OR($A48="",$D48=""),"",$D48*'DATOS'!$C$24+$E48)</x:f>
      </x:c>
      <x:c r="J48" s="77" t="str">
        <x:f>IF(OR($H48="",$I48=""),"",$H48-$I48)</x:f>
      </x:c>
      <x:c r="K48" s="110" t="str">
        <x:f>IFERROR($J48/$H48,"")</x:f>
      </x:c>
    </x:row>
    <x:row r="49">
      <x:c r="A49" s="85"/>
      <x:c r="B49" s="86"/>
      <x:c r="C49" s="86"/>
      <x:c r="D49" s="86"/>
      <x:c r="E49" s="103"/>
      <x:c r="F49" s="104"/>
      <x:c r="G49" s="105" t="str">
        <x:f>IF($A49="","",'DATOS'!$C$25)</x:f>
      </x:c>
      <x:c r="H49" s="77" t="str">
        <x:f>IF($A49="","",($C49*$G49+$E49)*(1+'DATOS'!$C$16))</x:f>
      </x:c>
      <x:c r="I49" s="77" t="str">
        <x:f>IF(OR($A49="",$D49=""),"",$D49*'DATOS'!$C$24+$E49)</x:f>
      </x:c>
      <x:c r="J49" s="77" t="str">
        <x:f>IF(OR($H49="",$I49=""),"",$H49-$I49)</x:f>
      </x:c>
      <x:c r="K49" s="110" t="str">
        <x:f>IFERROR($J49/$H49,"")</x:f>
      </x:c>
    </x:row>
    <x:row r="50">
      <x:c r="A50" s="85"/>
      <x:c r="B50" s="86"/>
      <x:c r="C50" s="86"/>
      <x:c r="D50" s="86"/>
      <x:c r="E50" s="103"/>
      <x:c r="F50" s="104"/>
      <x:c r="G50" s="105" t="str">
        <x:f>IF($A50="","",'DATOS'!$C$25)</x:f>
      </x:c>
      <x:c r="H50" s="77" t="str">
        <x:f>IF($A50="","",($C50*$G50+$E50)*(1+'DATOS'!$C$16))</x:f>
      </x:c>
      <x:c r="I50" s="77" t="str">
        <x:f>IF(OR($A50="",$D50=""),"",$D50*'DATOS'!$C$24+$E50)</x:f>
      </x:c>
      <x:c r="J50" s="77" t="str">
        <x:f>IF(OR($H50="",$I50=""),"",$H50-$I50)</x:f>
      </x:c>
      <x:c r="K50" s="110" t="str">
        <x:f>IFERROR($J50/$H50,"")</x:f>
      </x:c>
    </x:row>
    <x:row r="51">
      <x:c r="A51" s="85"/>
      <x:c r="B51" s="86"/>
      <x:c r="C51" s="86"/>
      <x:c r="D51" s="86"/>
      <x:c r="E51" s="103"/>
      <x:c r="F51" s="104"/>
      <x:c r="G51" s="105" t="str">
        <x:f>IF($A51="","",'DATOS'!$C$25)</x:f>
      </x:c>
      <x:c r="H51" s="77" t="str">
        <x:f>IF($A51="","",($C51*$G51+$E51)*(1+'DATOS'!$C$16))</x:f>
      </x:c>
      <x:c r="I51" s="77" t="str">
        <x:f>IF(OR($A51="",$D51=""),"",$D51*'DATOS'!$C$24+$E51)</x:f>
      </x:c>
      <x:c r="J51" s="77" t="str">
        <x:f>IF(OR($H51="",$I51=""),"",$H51-$I51)</x:f>
      </x:c>
      <x:c r="K51" s="110" t="str">
        <x:f>IFERROR($J51/$H51,"")</x:f>
      </x:c>
    </x:row>
    <x:row r="52">
      <x:c r="A52" s="85"/>
      <x:c r="B52" s="86"/>
      <x:c r="C52" s="86"/>
      <x:c r="D52" s="86"/>
      <x:c r="E52" s="103"/>
      <x:c r="F52" s="104"/>
      <x:c r="G52" s="105" t="str">
        <x:f>IF($A52="","",'DATOS'!$C$25)</x:f>
      </x:c>
      <x:c r="H52" s="77" t="str">
        <x:f>IF($A52="","",($C52*$G52+$E52)*(1+'DATOS'!$C$16))</x:f>
      </x:c>
      <x:c r="I52" s="77" t="str">
        <x:f>IF(OR($A52="",$D52=""),"",$D52*'DATOS'!$C$24+$E52)</x:f>
      </x:c>
      <x:c r="J52" s="77" t="str">
        <x:f>IF(OR($H52="",$I52=""),"",$H52-$I52)</x:f>
      </x:c>
      <x:c r="K52" s="110" t="str">
        <x:f>IFERROR($J52/$H52,"")</x:f>
      </x:c>
    </x:row>
    <x:row r="53">
      <x:c r="A53" s="85"/>
      <x:c r="B53" s="86"/>
      <x:c r="C53" s="86"/>
      <x:c r="D53" s="86"/>
      <x:c r="E53" s="103"/>
      <x:c r="F53" s="104"/>
      <x:c r="G53" s="105" t="str">
        <x:f>IF($A53="","",'DATOS'!$C$25)</x:f>
      </x:c>
      <x:c r="H53" s="77" t="str">
        <x:f>IF($A53="","",($C53*$G53+$E53)*(1+'DATOS'!$C$16))</x:f>
      </x:c>
      <x:c r="I53" s="77" t="str">
        <x:f>IF(OR($A53="",$D53=""),"",$D53*'DATOS'!$C$24+$E53)</x:f>
      </x:c>
      <x:c r="J53" s="77" t="str">
        <x:f>IF(OR($H53="",$I53=""),"",$H53-$I53)</x:f>
      </x:c>
      <x:c r="K53" s="110" t="str">
        <x:f>IFERROR($J53/$H53,"")</x:f>
      </x:c>
    </x:row>
    <x:row r="54">
      <x:c r="A54" s="85"/>
      <x:c r="B54" s="86"/>
      <x:c r="C54" s="86"/>
      <x:c r="D54" s="86"/>
      <x:c r="E54" s="103"/>
      <x:c r="F54" s="104"/>
      <x:c r="G54" s="105" t="str">
        <x:f>IF($A54="","",'DATOS'!$C$25)</x:f>
      </x:c>
      <x:c r="H54" s="77" t="str">
        <x:f>IF($A54="","",($C54*$G54+$E54)*(1+'DATOS'!$C$16))</x:f>
      </x:c>
      <x:c r="I54" s="77" t="str">
        <x:f>IF(OR($A54="",$D54=""),"",$D54*'DATOS'!$C$24+$E54)</x:f>
      </x:c>
      <x:c r="J54" s="77" t="str">
        <x:f>IF(OR($H54="",$I54=""),"",$H54-$I54)</x:f>
      </x:c>
      <x:c r="K54" s="110" t="str">
        <x:f>IFERROR($J54/$H54,"")</x:f>
      </x:c>
    </x:row>
    <x:row r="55">
      <x:c r="A55" s="85"/>
      <x:c r="B55" s="86"/>
      <x:c r="C55" s="86"/>
      <x:c r="D55" s="86"/>
      <x:c r="E55" s="103"/>
      <x:c r="F55" s="104"/>
      <x:c r="G55" s="105" t="str">
        <x:f>IF($A55="","",'DATOS'!$C$25)</x:f>
      </x:c>
      <x:c r="H55" s="77" t="str">
        <x:f>IF($A55="","",($C55*$G55+$E55)*(1+'DATOS'!$C$16))</x:f>
      </x:c>
      <x:c r="I55" s="77" t="str">
        <x:f>IF(OR($A55="",$D55=""),"",$D55*'DATOS'!$C$24+$E55)</x:f>
      </x:c>
      <x:c r="J55" s="77" t="str">
        <x:f>IF(OR($H55="",$I55=""),"",$H55-$I55)</x:f>
      </x:c>
      <x:c r="K55" s="110" t="str">
        <x:f>IFERROR($J55/$H55,"")</x:f>
      </x:c>
    </x:row>
    <x:row r="56">
      <x:c r="A56" s="85"/>
      <x:c r="B56" s="86"/>
      <x:c r="C56" s="86"/>
      <x:c r="D56" s="86"/>
      <x:c r="E56" s="103"/>
      <x:c r="F56" s="104"/>
      <x:c r="G56" s="105" t="str">
        <x:f>IF($A56="","",'DATOS'!$C$25)</x:f>
      </x:c>
      <x:c r="H56" s="77" t="str">
        <x:f>IF($A56="","",($C56*$G56+$E56)*(1+'DATOS'!$C$16))</x:f>
      </x:c>
      <x:c r="I56" s="77" t="str">
        <x:f>IF(OR($A56="",$D56=""),"",$D56*'DATOS'!$C$24+$E56)</x:f>
      </x:c>
      <x:c r="J56" s="77" t="str">
        <x:f>IF(OR($H56="",$I56=""),"",$H56-$I56)</x:f>
      </x:c>
      <x:c r="K56" s="110" t="str">
        <x:f>IFERROR($J56/$H56,"")</x:f>
      </x:c>
    </x:row>
    <x:row r="57">
      <x:c r="A57" s="85"/>
      <x:c r="B57" s="86"/>
      <x:c r="C57" s="86"/>
      <x:c r="D57" s="86"/>
      <x:c r="E57" s="103"/>
      <x:c r="F57" s="104"/>
      <x:c r="G57" s="105" t="str">
        <x:f>IF($A57="","",'DATOS'!$C$25)</x:f>
      </x:c>
      <x:c r="H57" s="77" t="str">
        <x:f>IF($A57="","",($C57*$G57+$E57)*(1+'DATOS'!$C$16))</x:f>
      </x:c>
      <x:c r="I57" s="77" t="str">
        <x:f>IF(OR($A57="",$D57=""),"",$D57*'DATOS'!$C$24+$E57)</x:f>
      </x:c>
      <x:c r="J57" s="77" t="str">
        <x:f>IF(OR($H57="",$I57=""),"",$H57-$I57)</x:f>
      </x:c>
      <x:c r="K57" s="110" t="str">
        <x:f>IFERROR($J57/$H57,"")</x:f>
      </x:c>
    </x:row>
    <x:row r="58">
      <x:c r="A58" s="85"/>
      <x:c r="B58" s="86"/>
      <x:c r="C58" s="86"/>
      <x:c r="D58" s="86"/>
      <x:c r="E58" s="103"/>
      <x:c r="F58" s="104"/>
      <x:c r="G58" s="105" t="str">
        <x:f>IF($A58="","",'DATOS'!$C$25)</x:f>
      </x:c>
      <x:c r="H58" s="77" t="str">
        <x:f>IF($A58="","",($C58*$G58+$E58)*(1+'DATOS'!$C$16))</x:f>
      </x:c>
      <x:c r="I58" s="77" t="str">
        <x:f>IF(OR($A58="",$D58=""),"",$D58*'DATOS'!$C$24+$E58)</x:f>
      </x:c>
      <x:c r="J58" s="77" t="str">
        <x:f>IF(OR($H58="",$I58=""),"",$H58-$I58)</x:f>
      </x:c>
      <x:c r="K58" s="110" t="str">
        <x:f>IFERROR($J58/$H58,"")</x:f>
      </x:c>
    </x:row>
    <x:row r="59">
      <x:c r="A59" s="85"/>
      <x:c r="B59" s="86"/>
      <x:c r="C59" s="86"/>
      <x:c r="D59" s="86"/>
      <x:c r="E59" s="103"/>
      <x:c r="F59" s="104"/>
      <x:c r="G59" s="105" t="str">
        <x:f>IF($A59="","",'DATOS'!$C$25)</x:f>
      </x:c>
      <x:c r="H59" s="77" t="str">
        <x:f>IF($A59="","",($C59*$G59+$E59)*(1+'DATOS'!$C$16))</x:f>
      </x:c>
      <x:c r="I59" s="77" t="str">
        <x:f>IF(OR($A59="",$D59=""),"",$D59*'DATOS'!$C$24+$E59)</x:f>
      </x:c>
      <x:c r="J59" s="77" t="str">
        <x:f>IF(OR($H59="",$I59=""),"",$H59-$I59)</x:f>
      </x:c>
      <x:c r="K59" s="110" t="str">
        <x:f>IFERROR($J59/$H59,"")</x:f>
      </x:c>
    </x:row>
    <x:row r="60">
      <x:c r="A60" s="85"/>
      <x:c r="B60" s="86"/>
      <x:c r="C60" s="86"/>
      <x:c r="D60" s="86"/>
      <x:c r="E60" s="103"/>
      <x:c r="F60" s="104"/>
      <x:c r="G60" s="105" t="str">
        <x:f>IF($A60="","",'DATOS'!$C$25)</x:f>
      </x:c>
      <x:c r="H60" s="77" t="str">
        <x:f>IF($A60="","",($C60*$G60+$E60)*(1+'DATOS'!$C$16))</x:f>
      </x:c>
      <x:c r="I60" s="77" t="str">
        <x:f>IF(OR($A60="",$D60=""),"",$D60*'DATOS'!$C$24+$E60)</x:f>
      </x:c>
      <x:c r="J60" s="77" t="str">
        <x:f>IF(OR($H60="",$I60=""),"",$H60-$I60)</x:f>
      </x:c>
      <x:c r="K60" s="110" t="str">
        <x:f>IFERROR($J60/$H60,"")</x:f>
      </x:c>
    </x:row>
    <x:row r="61">
      <x:c r="A61" s="85"/>
      <x:c r="B61" s="86"/>
      <x:c r="C61" s="86"/>
      <x:c r="D61" s="86"/>
      <x:c r="E61" s="103"/>
      <x:c r="F61" s="104"/>
      <x:c r="G61" s="105" t="str">
        <x:f>IF($A61="","",'DATOS'!$C$25)</x:f>
      </x:c>
      <x:c r="H61" s="77" t="str">
        <x:f>IF($A61="","",($C61*$G61+$E61)*(1+'DATOS'!$C$16))</x:f>
      </x:c>
      <x:c r="I61" s="77" t="str">
        <x:f>IF(OR($A61="",$D61=""),"",$D61*'DATOS'!$C$24+$E61)</x:f>
      </x:c>
      <x:c r="J61" s="77" t="str">
        <x:f>IF(OR($H61="",$I61=""),"",$H61-$I61)</x:f>
      </x:c>
      <x:c r="K61" s="110" t="str">
        <x:f>IFERROR($J61/$H61,"")</x:f>
      </x:c>
    </x:row>
    <x:row r="62">
      <x:c r="A62" s="85"/>
      <x:c r="B62" s="86"/>
      <x:c r="C62" s="86"/>
      <x:c r="D62" s="86"/>
      <x:c r="E62" s="103"/>
      <x:c r="F62" s="104"/>
      <x:c r="G62" s="105" t="str">
        <x:f>IF($A62="","",'DATOS'!$C$25)</x:f>
      </x:c>
      <x:c r="H62" s="77" t="str">
        <x:f>IF($A62="","",($C62*$G62+$E62)*(1+'DATOS'!$C$16))</x:f>
      </x:c>
      <x:c r="I62" s="77" t="str">
        <x:f>IF(OR($A62="",$D62=""),"",$D62*'DATOS'!$C$24+$E62)</x:f>
      </x:c>
      <x:c r="J62" s="77" t="str">
        <x:f>IF(OR($H62="",$I62=""),"",$H62-$I62)</x:f>
      </x:c>
      <x:c r="K62" s="110" t="str">
        <x:f>IFERROR($J62/$H62,"")</x:f>
      </x:c>
    </x:row>
    <x:row r="63">
      <x:c r="A63" s="85"/>
      <x:c r="B63" s="86"/>
      <x:c r="C63" s="86"/>
      <x:c r="D63" s="86"/>
      <x:c r="E63" s="103"/>
      <x:c r="F63" s="104"/>
      <x:c r="G63" s="105" t="str">
        <x:f>IF($A63="","",'DATOS'!$C$25)</x:f>
      </x:c>
      <x:c r="H63" s="77" t="str">
        <x:f>IF($A63="","",($C63*$G63+$E63)*(1+'DATOS'!$C$16))</x:f>
      </x:c>
      <x:c r="I63" s="77" t="str">
        <x:f>IF(OR($A63="",$D63=""),"",$D63*'DATOS'!$C$24+$E63)</x:f>
      </x:c>
      <x:c r="J63" s="77" t="str">
        <x:f>IF(OR($H63="",$I63=""),"",$H63-$I63)</x:f>
      </x:c>
      <x:c r="K63" s="110" t="str">
        <x:f>IFERROR($J63/$H63,"")</x:f>
      </x:c>
    </x:row>
    <x:row r="64">
      <x:c r="A64" s="85"/>
      <x:c r="B64" s="86"/>
      <x:c r="C64" s="86"/>
      <x:c r="D64" s="86"/>
      <x:c r="E64" s="103"/>
      <x:c r="F64" s="104"/>
      <x:c r="G64" s="105" t="str">
        <x:f>IF($A64="","",'DATOS'!$C$25)</x:f>
      </x:c>
      <x:c r="H64" s="77" t="str">
        <x:f>IF($A64="","",($C64*$G64+$E64)*(1+'DATOS'!$C$16))</x:f>
      </x:c>
      <x:c r="I64" s="77" t="str">
        <x:f>IF(OR($A64="",$D64=""),"",$D64*'DATOS'!$C$24+$E64)</x:f>
      </x:c>
      <x:c r="J64" s="77" t="str">
        <x:f>IF(OR($H64="",$I64=""),"",$H64-$I64)</x:f>
      </x:c>
      <x:c r="K64" s="110" t="str">
        <x:f>IFERROR($J64/$H64,"")</x:f>
      </x:c>
    </x:row>
    <x:row r="65">
      <x:c r="A65" s="85"/>
      <x:c r="B65" s="86"/>
      <x:c r="C65" s="86"/>
      <x:c r="D65" s="86"/>
      <x:c r="E65" s="103"/>
      <x:c r="F65" s="104"/>
      <x:c r="G65" s="105" t="str">
        <x:f>IF($A65="","",'DATOS'!$C$25)</x:f>
      </x:c>
      <x:c r="H65" s="77" t="str">
        <x:f>IF($A65="","",($C65*$G65+$E65)*(1+'DATOS'!$C$16))</x:f>
      </x:c>
      <x:c r="I65" s="77" t="str">
        <x:f>IF(OR($A65="",$D65=""),"",$D65*'DATOS'!$C$24+$E65)</x:f>
      </x:c>
      <x:c r="J65" s="77" t="str">
        <x:f>IF(OR($H65="",$I65=""),"",$H65-$I65)</x:f>
      </x:c>
      <x:c r="K65" s="110" t="str">
        <x:f>IFERROR($J65/$H65,"")</x:f>
      </x:c>
    </x:row>
    <x:row r="66">
      <x:c r="A66" s="85"/>
      <x:c r="B66" s="86"/>
      <x:c r="C66" s="86"/>
      <x:c r="D66" s="86"/>
      <x:c r="E66" s="103"/>
      <x:c r="F66" s="104"/>
      <x:c r="G66" s="105" t="str">
        <x:f>IF($A66="","",'DATOS'!$C$25)</x:f>
      </x:c>
      <x:c r="H66" s="77" t="str">
        <x:f>IF($A66="","",($C66*$G66+$E66)*(1+'DATOS'!$C$16))</x:f>
      </x:c>
      <x:c r="I66" s="77" t="str">
        <x:f>IF(OR($A66="",$D66=""),"",$D66*'DATOS'!$C$24+$E66)</x:f>
      </x:c>
      <x:c r="J66" s="77" t="str">
        <x:f>IF(OR($H66="",$I66=""),"",$H66-$I66)</x:f>
      </x:c>
      <x:c r="K66" s="110" t="str">
        <x:f>IFERROR($J66/$H66,"")</x:f>
      </x:c>
    </x:row>
    <x:row r="67">
      <x:c r="A67" s="85"/>
      <x:c r="B67" s="86"/>
      <x:c r="C67" s="86"/>
      <x:c r="D67" s="86"/>
      <x:c r="E67" s="103"/>
      <x:c r="F67" s="104"/>
      <x:c r="G67" s="105" t="str">
        <x:f>IF($A67="","",'DATOS'!$C$25)</x:f>
      </x:c>
      <x:c r="H67" s="77" t="str">
        <x:f>IF($A67="","",($C67*$G67+$E67)*(1+'DATOS'!$C$16))</x:f>
      </x:c>
      <x:c r="I67" s="77" t="str">
        <x:f>IF(OR($A67="",$D67=""),"",$D67*'DATOS'!$C$24+$E67)</x:f>
      </x:c>
      <x:c r="J67" s="77" t="str">
        <x:f>IF(OR($H67="",$I67=""),"",$H67-$I67)</x:f>
      </x:c>
      <x:c r="K67" s="110" t="str">
        <x:f>IFERROR($J67/$H67,"")</x:f>
      </x:c>
    </x:row>
    <x:row r="68">
      <x:c r="A68" s="85"/>
      <x:c r="B68" s="86"/>
      <x:c r="C68" s="86"/>
      <x:c r="D68" s="86"/>
      <x:c r="E68" s="103"/>
      <x:c r="F68" s="104"/>
      <x:c r="G68" s="105" t="str">
        <x:f>IF($A68="","",'DATOS'!$C$25)</x:f>
      </x:c>
      <x:c r="H68" s="77" t="str">
        <x:f>IF($A68="","",($C68*$G68+$E68)*(1+'DATOS'!$C$16))</x:f>
      </x:c>
      <x:c r="I68" s="77" t="str">
        <x:f>IF(OR($A68="",$D68=""),"",$D68*'DATOS'!$C$24+$E68)</x:f>
      </x:c>
      <x:c r="J68" s="77" t="str">
        <x:f>IF(OR($H68="",$I68=""),"",$H68-$I68)</x:f>
      </x:c>
      <x:c r="K68" s="110" t="str">
        <x:f>IFERROR($J68/$H68,"")</x:f>
      </x:c>
    </x:row>
    <x:row r="69">
      <x:c r="A69" s="85"/>
      <x:c r="B69" s="86"/>
      <x:c r="C69" s="86"/>
      <x:c r="D69" s="86"/>
      <x:c r="E69" s="103"/>
      <x:c r="F69" s="104"/>
      <x:c r="G69" s="105" t="str">
        <x:f>IF($A69="","",'DATOS'!$C$25)</x:f>
      </x:c>
      <x:c r="H69" s="77" t="str">
        <x:f>IF($A69="","",($C69*$G69+$E69)*(1+'DATOS'!$C$16))</x:f>
      </x:c>
      <x:c r="I69" s="77" t="str">
        <x:f>IF(OR($A69="",$D69=""),"",$D69*'DATOS'!$C$24+$E69)</x:f>
      </x:c>
      <x:c r="J69" s="77" t="str">
        <x:f>IF(OR($H69="",$I69=""),"",$H69-$I69)</x:f>
      </x:c>
      <x:c r="K69" s="110" t="str">
        <x:f>IFERROR($J69/$H69,"")</x:f>
      </x:c>
    </x:row>
    <x:row r="70">
      <x:c r="A70" s="85"/>
      <x:c r="B70" s="86"/>
      <x:c r="C70" s="86"/>
      <x:c r="D70" s="86"/>
      <x:c r="E70" s="103"/>
      <x:c r="F70" s="104"/>
      <x:c r="G70" s="105" t="str">
        <x:f>IF($A70="","",'DATOS'!$C$25)</x:f>
      </x:c>
      <x:c r="H70" s="77" t="str">
        <x:f>IF($A70="","",($C70*$G70+$E70)*(1+'DATOS'!$C$16))</x:f>
      </x:c>
      <x:c r="I70" s="77" t="str">
        <x:f>IF(OR($A70="",$D70=""),"",$D70*'DATOS'!$C$24+$E70)</x:f>
      </x:c>
      <x:c r="J70" s="77" t="str">
        <x:f>IF(OR($H70="",$I70=""),"",$H70-$I70)</x:f>
      </x:c>
      <x:c r="K70" s="110" t="str">
        <x:f>IFERROR($J70/$H70,"")</x:f>
      </x:c>
    </x:row>
    <x:row r="71">
      <x:c r="A71" s="85"/>
      <x:c r="B71" s="86"/>
      <x:c r="C71" s="86"/>
      <x:c r="D71" s="86"/>
      <x:c r="E71" s="103"/>
      <x:c r="F71" s="104"/>
      <x:c r="G71" s="105" t="str">
        <x:f>IF($A71="","",'DATOS'!$C$25)</x:f>
      </x:c>
      <x:c r="H71" s="77" t="str">
        <x:f>IF($A71="","",($C71*$G71+$E71)*(1+'DATOS'!$C$16))</x:f>
      </x:c>
      <x:c r="I71" s="77" t="str">
        <x:f>IF(OR($A71="",$D71=""),"",$D71*'DATOS'!$C$24+$E71)</x:f>
      </x:c>
      <x:c r="J71" s="77" t="str">
        <x:f>IF(OR($H71="",$I71=""),"",$H71-$I71)</x:f>
      </x:c>
      <x:c r="K71" s="110" t="str">
        <x:f>IFERROR($J71/$H71,"")</x:f>
      </x:c>
    </x:row>
    <x:row r="72">
      <x:c r="A72" s="85"/>
      <x:c r="B72" s="86"/>
      <x:c r="C72" s="86"/>
      <x:c r="D72" s="86"/>
      <x:c r="E72" s="103"/>
      <x:c r="F72" s="104"/>
      <x:c r="G72" s="105" t="str">
        <x:f>IF($A72="","",'DATOS'!$C$25)</x:f>
      </x:c>
      <x:c r="H72" s="77" t="str">
        <x:f>IF($A72="","",($C72*$G72+$E72)*(1+'DATOS'!$C$16))</x:f>
      </x:c>
      <x:c r="I72" s="77" t="str">
        <x:f>IF(OR($A72="",$D72=""),"",$D72*'DATOS'!$C$24+$E72)</x:f>
      </x:c>
      <x:c r="J72" s="77" t="str">
        <x:f>IF(OR($H72="",$I72=""),"",$H72-$I72)</x:f>
      </x:c>
      <x:c r="K72" s="110" t="str">
        <x:f>IFERROR($J72/$H72,"")</x:f>
      </x:c>
    </x:row>
    <x:row r="73">
      <x:c r="A73" s="85"/>
      <x:c r="B73" s="86"/>
      <x:c r="C73" s="86"/>
      <x:c r="D73" s="86"/>
      <x:c r="E73" s="103"/>
      <x:c r="F73" s="104"/>
      <x:c r="G73" s="105" t="str">
        <x:f>IF($A73="","",'DATOS'!$C$25)</x:f>
      </x:c>
      <x:c r="H73" s="77" t="str">
        <x:f>IF($A73="","",($C73*$G73+$E73)*(1+'DATOS'!$C$16))</x:f>
      </x:c>
      <x:c r="I73" s="77" t="str">
        <x:f>IF(OR($A73="",$D73=""),"",$D73*'DATOS'!$C$24+$E73)</x:f>
      </x:c>
      <x:c r="J73" s="77" t="str">
        <x:f>IF(OR($H73="",$I73=""),"",$H73-$I73)</x:f>
      </x:c>
      <x:c r="K73" s="110" t="str">
        <x:f>IFERROR($J73/$H73,"")</x:f>
      </x:c>
    </x:row>
    <x:row r="74">
      <x:c r="A74" s="85"/>
      <x:c r="B74" s="86"/>
      <x:c r="C74" s="86"/>
      <x:c r="D74" s="86"/>
      <x:c r="E74" s="103"/>
      <x:c r="F74" s="104"/>
      <x:c r="G74" s="105" t="str">
        <x:f>IF($A74="","",'DATOS'!$C$25)</x:f>
      </x:c>
      <x:c r="H74" s="77" t="str">
        <x:f>IF($A74="","",($C74*$G74+$E74)*(1+'DATOS'!$C$16))</x:f>
      </x:c>
      <x:c r="I74" s="77" t="str">
        <x:f>IF(OR($A74="",$D74=""),"",$D74*'DATOS'!$C$24+$E74)</x:f>
      </x:c>
      <x:c r="J74" s="77" t="str">
        <x:f>IF(OR($H74="",$I74=""),"",$H74-$I74)</x:f>
      </x:c>
      <x:c r="K74" s="110" t="str">
        <x:f>IFERROR($J74/$H74,"")</x:f>
      </x:c>
    </x:row>
    <x:row r="75">
      <x:c r="A75" s="85"/>
      <x:c r="B75" s="86"/>
      <x:c r="C75" s="86"/>
      <x:c r="D75" s="86"/>
      <x:c r="E75" s="103"/>
      <x:c r="F75" s="104"/>
      <x:c r="G75" s="105" t="str">
        <x:f>IF($A75="","",'DATOS'!$C$25)</x:f>
      </x:c>
      <x:c r="H75" s="77" t="str">
        <x:f>IF($A75="","",($C75*$G75+$E75)*(1+'DATOS'!$C$16))</x:f>
      </x:c>
      <x:c r="I75" s="77" t="str">
        <x:f>IF(OR($A75="",$D75=""),"",$D75*'DATOS'!$C$24+$E75)</x:f>
      </x:c>
      <x:c r="J75" s="77" t="str">
        <x:f>IF(OR($H75="",$I75=""),"",$H75-$I75)</x:f>
      </x:c>
      <x:c r="K75" s="110" t="str">
        <x:f>IFERROR($J75/$H75,"")</x:f>
      </x:c>
    </x:row>
    <x:row r="76">
      <x:c r="A76" s="85"/>
      <x:c r="B76" s="86"/>
      <x:c r="C76" s="86"/>
      <x:c r="D76" s="86"/>
      <x:c r="E76" s="103"/>
      <x:c r="F76" s="104"/>
      <x:c r="G76" s="105" t="str">
        <x:f>IF($A76="","",'DATOS'!$C$25)</x:f>
      </x:c>
      <x:c r="H76" s="77" t="str">
        <x:f>IF($A76="","",($C76*$G76+$E76)*(1+'DATOS'!$C$16))</x:f>
      </x:c>
      <x:c r="I76" s="77" t="str">
        <x:f>IF(OR($A76="",$D76=""),"",$D76*'DATOS'!$C$24+$E76)</x:f>
      </x:c>
      <x:c r="J76" s="77" t="str">
        <x:f>IF(OR($H76="",$I76=""),"",$H76-$I76)</x:f>
      </x:c>
      <x:c r="K76" s="110" t="str">
        <x:f>IFERROR($J76/$H76,"")</x:f>
      </x:c>
    </x:row>
    <x:row r="77">
      <x:c r="A77" s="85"/>
      <x:c r="B77" s="86"/>
      <x:c r="C77" s="86"/>
      <x:c r="D77" s="86"/>
      <x:c r="E77" s="103"/>
      <x:c r="F77" s="104"/>
      <x:c r="G77" s="105" t="str">
        <x:f>IF($A77="","",'DATOS'!$C$25)</x:f>
      </x:c>
      <x:c r="H77" s="77" t="str">
        <x:f>IF($A77="","",($C77*$G77+$E77)*(1+'DATOS'!$C$16))</x:f>
      </x:c>
      <x:c r="I77" s="77" t="str">
        <x:f>IF(OR($A77="",$D77=""),"",$D77*'DATOS'!$C$24+$E77)</x:f>
      </x:c>
      <x:c r="J77" s="77" t="str">
        <x:f>IF(OR($H77="",$I77=""),"",$H77-$I77)</x:f>
      </x:c>
      <x:c r="K77" s="110" t="str">
        <x:f>IFERROR($J77/$H77,"")</x:f>
      </x:c>
    </x:row>
    <x:row r="78">
      <x:c r="A78" s="85"/>
      <x:c r="B78" s="86"/>
      <x:c r="C78" s="86"/>
      <x:c r="D78" s="86"/>
      <x:c r="E78" s="103"/>
      <x:c r="F78" s="104"/>
      <x:c r="G78" s="105" t="str">
        <x:f>IF($A78="","",'DATOS'!$C$25)</x:f>
      </x:c>
      <x:c r="H78" s="77" t="str">
        <x:f>IF($A78="","",($C78*$G78+$E78)*(1+'DATOS'!$C$16))</x:f>
      </x:c>
      <x:c r="I78" s="77" t="str">
        <x:f>IF(OR($A78="",$D78=""),"",$D78*'DATOS'!$C$24+$E78)</x:f>
      </x:c>
      <x:c r="J78" s="77" t="str">
        <x:f>IF(OR($H78="",$I78=""),"",$H78-$I78)</x:f>
      </x:c>
      <x:c r="K78" s="110" t="str">
        <x:f>IFERROR($J78/$H78,"")</x:f>
      </x:c>
    </x:row>
    <x:row r="79">
      <x:c r="A79" s="85"/>
      <x:c r="B79" s="86"/>
      <x:c r="C79" s="86"/>
      <x:c r="D79" s="86"/>
      <x:c r="E79" s="103"/>
      <x:c r="F79" s="104"/>
      <x:c r="G79" s="105" t="str">
        <x:f>IF($A79="","",'DATOS'!$C$25)</x:f>
      </x:c>
      <x:c r="H79" s="77" t="str">
        <x:f>IF($A79="","",($C79*$G79+$E79)*(1+'DATOS'!$C$16))</x:f>
      </x:c>
      <x:c r="I79" s="77" t="str">
        <x:f>IF(OR($A79="",$D79=""),"",$D79*'DATOS'!$C$24+$E79)</x:f>
      </x:c>
      <x:c r="J79" s="77" t="str">
        <x:f>IF(OR($H79="",$I79=""),"",$H79-$I79)</x:f>
      </x:c>
      <x:c r="K79" s="110" t="str">
        <x:f>IFERROR($J79/$H79,"")</x:f>
      </x:c>
    </x:row>
    <x:row r="80">
      <x:c r="A80" s="85"/>
      <x:c r="B80" s="86"/>
      <x:c r="C80" s="86"/>
      <x:c r="D80" s="86"/>
      <x:c r="E80" s="103"/>
      <x:c r="F80" s="104"/>
      <x:c r="G80" s="105" t="str">
        <x:f>IF($A80="","",'DATOS'!$C$25)</x:f>
      </x:c>
      <x:c r="H80" s="77" t="str">
        <x:f>IF($A80="","",($C80*$G80+$E80)*(1+'DATOS'!$C$16))</x:f>
      </x:c>
      <x:c r="I80" s="77" t="str">
        <x:f>IF(OR($A80="",$D80=""),"",$D80*'DATOS'!$C$24+$E80)</x:f>
      </x:c>
      <x:c r="J80" s="77" t="str">
        <x:f>IF(OR($H80="",$I80=""),"",$H80-$I80)</x:f>
      </x:c>
      <x:c r="K80" s="110" t="str">
        <x:f>IFERROR($J80/$H80,"")</x:f>
      </x:c>
    </x:row>
    <x:row r="81">
      <x:c r="A81" s="85"/>
      <x:c r="B81" s="86"/>
      <x:c r="C81" s="86"/>
      <x:c r="D81" s="86"/>
      <x:c r="E81" s="103"/>
      <x:c r="F81" s="104"/>
      <x:c r="G81" s="105" t="str">
        <x:f>IF($A81="","",'DATOS'!$C$25)</x:f>
      </x:c>
      <x:c r="H81" s="77" t="str">
        <x:f>IF($A81="","",($C81*$G81+$E81)*(1+'DATOS'!$C$16))</x:f>
      </x:c>
      <x:c r="I81" s="77" t="str">
        <x:f>IF(OR($A81="",$D81=""),"",$D81*'DATOS'!$C$24+$E81)</x:f>
      </x:c>
      <x:c r="J81" s="77" t="str">
        <x:f>IF(OR($H81="",$I81=""),"",$H81-$I81)</x:f>
      </x:c>
      <x:c r="K81" s="110" t="str">
        <x:f>IFERROR($J81/$H81,"")</x:f>
      </x:c>
    </x:row>
    <x:row r="82">
      <x:c r="A82" s="85"/>
      <x:c r="B82" s="86"/>
      <x:c r="C82" s="86"/>
      <x:c r="D82" s="86"/>
      <x:c r="E82" s="103"/>
      <x:c r="F82" s="104"/>
      <x:c r="G82" s="105" t="str">
        <x:f>IF($A82="","",'DATOS'!$C$25)</x:f>
      </x:c>
      <x:c r="H82" s="77" t="str">
        <x:f>IF($A82="","",($C82*$G82+$E82)*(1+'DATOS'!$C$16))</x:f>
      </x:c>
      <x:c r="I82" s="77" t="str">
        <x:f>IF(OR($A82="",$D82=""),"",$D82*'DATOS'!$C$24+$E82)</x:f>
      </x:c>
      <x:c r="J82" s="77" t="str">
        <x:f>IF(OR($H82="",$I82=""),"",$H82-$I82)</x:f>
      </x:c>
      <x:c r="K82" s="110" t="str">
        <x:f>IFERROR($J82/$H82,"")</x:f>
      </x:c>
    </x:row>
    <x:row r="83">
      <x:c r="A83" s="85"/>
      <x:c r="B83" s="86"/>
      <x:c r="C83" s="86"/>
      <x:c r="D83" s="86"/>
      <x:c r="E83" s="103"/>
      <x:c r="F83" s="104"/>
      <x:c r="G83" s="105" t="str">
        <x:f>IF($A83="","",'DATOS'!$C$25)</x:f>
      </x:c>
      <x:c r="H83" s="77" t="str">
        <x:f>IF($A83="","",($C83*$G83+$E83)*(1+'DATOS'!$C$16))</x:f>
      </x:c>
      <x:c r="I83" s="77" t="str">
        <x:f>IF(OR($A83="",$D83=""),"",$D83*'DATOS'!$C$24+$E83)</x:f>
      </x:c>
      <x:c r="J83" s="77" t="str">
        <x:f>IF(OR($H83="",$I83=""),"",$H83-$I83)</x:f>
      </x:c>
      <x:c r="K83" s="110" t="str">
        <x:f>IFERROR($J83/$H83,"")</x:f>
      </x:c>
    </x:row>
    <x:row r="84">
      <x:c r="A84" s="85"/>
      <x:c r="B84" s="86"/>
      <x:c r="C84" s="86"/>
      <x:c r="D84" s="86"/>
      <x:c r="E84" s="103"/>
      <x:c r="F84" s="104"/>
      <x:c r="G84" s="105" t="str">
        <x:f>IF($A84="","",'DATOS'!$C$25)</x:f>
      </x:c>
      <x:c r="H84" s="77" t="str">
        <x:f>IF($A84="","",($C84*$G84+$E84)*(1+'DATOS'!$C$16))</x:f>
      </x:c>
      <x:c r="I84" s="77" t="str">
        <x:f>IF(OR($A84="",$D84=""),"",$D84*'DATOS'!$C$24+$E84)</x:f>
      </x:c>
      <x:c r="J84" s="77" t="str">
        <x:f>IF(OR($H84="",$I84=""),"",$H84-$I84)</x:f>
      </x:c>
      <x:c r="K84" s="110" t="str">
        <x:f>IFERROR($J84/$H84,"")</x:f>
      </x:c>
    </x:row>
    <x:row r="85">
      <x:c r="A85" s="85"/>
      <x:c r="B85" s="86"/>
      <x:c r="C85" s="86"/>
      <x:c r="D85" s="86"/>
      <x:c r="E85" s="103"/>
      <x:c r="F85" s="104"/>
      <x:c r="G85" s="105" t="str">
        <x:f>IF($A85="","",'DATOS'!$C$25)</x:f>
      </x:c>
      <x:c r="H85" s="77" t="str">
        <x:f>IF($A85="","",($C85*$G85+$E85)*(1+'DATOS'!$C$16))</x:f>
      </x:c>
      <x:c r="I85" s="77" t="str">
        <x:f>IF(OR($A85="",$D85=""),"",$D85*'DATOS'!$C$24+$E85)</x:f>
      </x:c>
      <x:c r="J85" s="77" t="str">
        <x:f>IF(OR($H85="",$I85=""),"",$H85-$I85)</x:f>
      </x:c>
      <x:c r="K85" s="110" t="str">
        <x:f>IFERROR($J85/$H85,"")</x:f>
      </x:c>
    </x:row>
    <x:row r="86">
      <x:c r="A86" s="85"/>
      <x:c r="B86" s="86"/>
      <x:c r="C86" s="86"/>
      <x:c r="D86" s="86"/>
      <x:c r="E86" s="103"/>
      <x:c r="F86" s="104"/>
      <x:c r="G86" s="105" t="str">
        <x:f>IF($A86="","",'DATOS'!$C$25)</x:f>
      </x:c>
      <x:c r="H86" s="77" t="str">
        <x:f>IF($A86="","",($C86*$G86+$E86)*(1+'DATOS'!$C$16))</x:f>
      </x:c>
      <x:c r="I86" s="77" t="str">
        <x:f>IF(OR($A86="",$D86=""),"",$D86*'DATOS'!$C$24+$E86)</x:f>
      </x:c>
      <x:c r="J86" s="77" t="str">
        <x:f>IF(OR($H86="",$I86=""),"",$H86-$I86)</x:f>
      </x:c>
      <x:c r="K86" s="110" t="str">
        <x:f>IFERROR($J86/$H86,"")</x:f>
      </x:c>
    </x:row>
    <x:row r="87">
      <x:c r="A87" s="85"/>
      <x:c r="B87" s="86"/>
      <x:c r="C87" s="86"/>
      <x:c r="D87" s="86"/>
      <x:c r="E87" s="103"/>
      <x:c r="F87" s="104"/>
      <x:c r="G87" s="105" t="str">
        <x:f>IF($A87="","",'DATOS'!$C$25)</x:f>
      </x:c>
      <x:c r="H87" s="77" t="str">
        <x:f>IF($A87="","",($C87*$G87+$E87)*(1+'DATOS'!$C$16))</x:f>
      </x:c>
      <x:c r="I87" s="77" t="str">
        <x:f>IF(OR($A87="",$D87=""),"",$D87*'DATOS'!$C$24+$E87)</x:f>
      </x:c>
      <x:c r="J87" s="77" t="str">
        <x:f>IF(OR($H87="",$I87=""),"",$H87-$I87)</x:f>
      </x:c>
      <x:c r="K87" s="110" t="str">
        <x:f>IFERROR($J87/$H87,"")</x:f>
      </x:c>
    </x:row>
    <x:row r="88">
      <x:c r="A88" s="85"/>
      <x:c r="B88" s="86"/>
      <x:c r="C88" s="86"/>
      <x:c r="D88" s="86"/>
      <x:c r="E88" s="103"/>
      <x:c r="F88" s="104"/>
      <x:c r="G88" s="105" t="str">
        <x:f>IF($A88="","",'DATOS'!$C$25)</x:f>
      </x:c>
      <x:c r="H88" s="77" t="str">
        <x:f>IF($A88="","",($C88*$G88+$E88)*(1+'DATOS'!$C$16))</x:f>
      </x:c>
      <x:c r="I88" s="77" t="str">
        <x:f>IF(OR($A88="",$D88=""),"",$D88*'DATOS'!$C$24+$E88)</x:f>
      </x:c>
      <x:c r="J88" s="77" t="str">
        <x:f>IF(OR($H88="",$I88=""),"",$H88-$I88)</x:f>
      </x:c>
      <x:c r="K88" s="110" t="str">
        <x:f>IFERROR($J88/$H88,"")</x:f>
      </x:c>
    </x:row>
    <x:row r="89">
      <x:c r="A89" s="85"/>
      <x:c r="B89" s="86"/>
      <x:c r="C89" s="86"/>
      <x:c r="D89" s="86"/>
      <x:c r="E89" s="103"/>
      <x:c r="F89" s="104"/>
      <x:c r="G89" s="105" t="str">
        <x:f>IF($A89="","",'DATOS'!$C$25)</x:f>
      </x:c>
      <x:c r="H89" s="77" t="str">
        <x:f>IF($A89="","",($C89*$G89+$E89)*(1+'DATOS'!$C$16))</x:f>
      </x:c>
      <x:c r="I89" s="77" t="str">
        <x:f>IF(OR($A89="",$D89=""),"",$D89*'DATOS'!$C$24+$E89)</x:f>
      </x:c>
      <x:c r="J89" s="77" t="str">
        <x:f>IF(OR($H89="",$I89=""),"",$H89-$I89)</x:f>
      </x:c>
      <x:c r="K89" s="110" t="str">
        <x:f>IFERROR($J89/$H89,"")</x:f>
      </x:c>
    </x:row>
    <x:row r="90">
      <x:c r="A90" s="85"/>
      <x:c r="B90" s="86"/>
      <x:c r="C90" s="86"/>
      <x:c r="D90" s="86"/>
      <x:c r="E90" s="103"/>
      <x:c r="F90" s="104"/>
      <x:c r="G90" s="105" t="str">
        <x:f>IF($A90="","",'DATOS'!$C$25)</x:f>
      </x:c>
      <x:c r="H90" s="77" t="str">
        <x:f>IF($A90="","",($C90*$G90+$E90)*(1+'DATOS'!$C$16))</x:f>
      </x:c>
      <x:c r="I90" s="77" t="str">
        <x:f>IF(OR($A90="",$D90=""),"",$D90*'DATOS'!$C$24+$E90)</x:f>
      </x:c>
      <x:c r="J90" s="77" t="str">
        <x:f>IF(OR($H90="",$I90=""),"",$H90-$I90)</x:f>
      </x:c>
      <x:c r="K90" s="110" t="str">
        <x:f>IFERROR($J90/$H90,"")</x:f>
      </x:c>
    </x:row>
    <x:row r="91">
      <x:c r="A91" s="85"/>
      <x:c r="B91" s="86"/>
      <x:c r="C91" s="86"/>
      <x:c r="D91" s="86"/>
      <x:c r="E91" s="103"/>
      <x:c r="F91" s="104"/>
      <x:c r="G91" s="105" t="str">
        <x:f>IF($A91="","",'DATOS'!$C$25)</x:f>
      </x:c>
      <x:c r="H91" s="77" t="str">
        <x:f>IF($A91="","",($C91*$G91+$E91)*(1+'DATOS'!$C$16))</x:f>
      </x:c>
      <x:c r="I91" s="77" t="str">
        <x:f>IF(OR($A91="",$D91=""),"",$D91*'DATOS'!$C$24+$E91)</x:f>
      </x:c>
      <x:c r="J91" s="77" t="str">
        <x:f>IF(OR($H91="",$I91=""),"",$H91-$I91)</x:f>
      </x:c>
      <x:c r="K91" s="110" t="str">
        <x:f>IFERROR($J91/$H91,"")</x:f>
      </x:c>
    </x:row>
    <x:row r="92">
      <x:c r="A92" s="85"/>
      <x:c r="B92" s="86"/>
      <x:c r="C92" s="86"/>
      <x:c r="D92" s="86"/>
      <x:c r="E92" s="103"/>
      <x:c r="F92" s="104"/>
      <x:c r="G92" s="105" t="str">
        <x:f>IF($A92="","",'DATOS'!$C$25)</x:f>
      </x:c>
      <x:c r="H92" s="77" t="str">
        <x:f>IF($A92="","",($C92*$G92+$E92)*(1+'DATOS'!$C$16))</x:f>
      </x:c>
      <x:c r="I92" s="77" t="str">
        <x:f>IF(OR($A92="",$D92=""),"",$D92*'DATOS'!$C$24+$E92)</x:f>
      </x:c>
      <x:c r="J92" s="77" t="str">
        <x:f>IF(OR($H92="",$I92=""),"",$H92-$I92)</x:f>
      </x:c>
      <x:c r="K92" s="110" t="str">
        <x:f>IFERROR($J92/$H92,"")</x:f>
      </x:c>
    </x:row>
    <x:row r="93">
      <x:c r="A93" s="85"/>
      <x:c r="B93" s="86"/>
      <x:c r="C93" s="86"/>
      <x:c r="D93" s="86"/>
      <x:c r="E93" s="103"/>
      <x:c r="F93" s="104"/>
      <x:c r="G93" s="105" t="str">
        <x:f>IF($A93="","",'DATOS'!$C$25)</x:f>
      </x:c>
      <x:c r="H93" s="77" t="str">
        <x:f>IF($A93="","",($C93*$G93+$E93)*(1+'DATOS'!$C$16))</x:f>
      </x:c>
      <x:c r="I93" s="77" t="str">
        <x:f>IF(OR($A93="",$D93=""),"",$D93*'DATOS'!$C$24+$E93)</x:f>
      </x:c>
      <x:c r="J93" s="77" t="str">
        <x:f>IF(OR($H93="",$I93=""),"",$H93-$I93)</x:f>
      </x:c>
      <x:c r="K93" s="110" t="str">
        <x:f>IFERROR($J93/$H93,"")</x:f>
      </x:c>
    </x:row>
    <x:row r="94">
      <x:c r="A94" s="85"/>
      <x:c r="B94" s="86"/>
      <x:c r="C94" s="86"/>
      <x:c r="D94" s="86"/>
      <x:c r="E94" s="103"/>
      <x:c r="F94" s="104"/>
      <x:c r="G94" s="105" t="str">
        <x:f>IF($A94="","",'DATOS'!$C$25)</x:f>
      </x:c>
      <x:c r="H94" s="77" t="str">
        <x:f>IF($A94="","",($C94*$G94+$E94)*(1+'DATOS'!$C$16))</x:f>
      </x:c>
      <x:c r="I94" s="77" t="str">
        <x:f>IF(OR($A94="",$D94=""),"",$D94*'DATOS'!$C$24+$E94)</x:f>
      </x:c>
      <x:c r="J94" s="77" t="str">
        <x:f>IF(OR($H94="",$I94=""),"",$H94-$I94)</x:f>
      </x:c>
      <x:c r="K94" s="110" t="str">
        <x:f>IFERROR($J94/$H94,"")</x:f>
      </x:c>
    </x:row>
    <x:row r="95">
      <x:c r="A95" s="85"/>
      <x:c r="B95" s="86"/>
      <x:c r="C95" s="86"/>
      <x:c r="D95" s="86"/>
      <x:c r="E95" s="103"/>
      <x:c r="F95" s="104"/>
      <x:c r="G95" s="105" t="str">
        <x:f>IF($A95="","",'DATOS'!$C$25)</x:f>
      </x:c>
      <x:c r="H95" s="77" t="str">
        <x:f>IF($A95="","",($C95*$G95+$E95)*(1+'DATOS'!$C$16))</x:f>
      </x:c>
      <x:c r="I95" s="77" t="str">
        <x:f>IF(OR($A95="",$D95=""),"",$D95*'DATOS'!$C$24+$E95)</x:f>
      </x:c>
      <x:c r="J95" s="77" t="str">
        <x:f>IF(OR($H95="",$I95=""),"",$H95-$I95)</x:f>
      </x:c>
      <x:c r="K95" s="110" t="str">
        <x:f>IFERROR($J95/$H95,"")</x:f>
      </x:c>
    </x:row>
    <x:row r="96">
      <x:c r="A96" s="85"/>
      <x:c r="B96" s="86"/>
      <x:c r="C96" s="86"/>
      <x:c r="D96" s="86"/>
      <x:c r="E96" s="103"/>
      <x:c r="F96" s="104"/>
      <x:c r="G96" s="105" t="str">
        <x:f>IF($A96="","",'DATOS'!$C$25)</x:f>
      </x:c>
      <x:c r="H96" s="77" t="str">
        <x:f>IF($A96="","",($C96*$G96+$E96)*(1+'DATOS'!$C$16))</x:f>
      </x:c>
      <x:c r="I96" s="77" t="str">
        <x:f>IF(OR($A96="",$D96=""),"",$D96*'DATOS'!$C$24+$E96)</x:f>
      </x:c>
      <x:c r="J96" s="77" t="str">
        <x:f>IF(OR($H96="",$I96=""),"",$H96-$I96)</x:f>
      </x:c>
      <x:c r="K96" s="110" t="str">
        <x:f>IFERROR($J96/$H96,"")</x:f>
      </x:c>
    </x:row>
    <x:row r="97">
      <x:c r="A97" s="85"/>
      <x:c r="B97" s="86"/>
      <x:c r="C97" s="86"/>
      <x:c r="D97" s="86"/>
      <x:c r="E97" s="103"/>
      <x:c r="F97" s="104"/>
      <x:c r="G97" s="105" t="str">
        <x:f>IF($A97="","",'DATOS'!$C$25)</x:f>
      </x:c>
      <x:c r="H97" s="77" t="str">
        <x:f>IF($A97="","",($C97*$G97+$E97)*(1+'DATOS'!$C$16))</x:f>
      </x:c>
      <x:c r="I97" s="77" t="str">
        <x:f>IF(OR($A97="",$D97=""),"",$D97*'DATOS'!$C$24+$E97)</x:f>
      </x:c>
      <x:c r="J97" s="77" t="str">
        <x:f>IF(OR($H97="",$I97=""),"",$H97-$I97)</x:f>
      </x:c>
      <x:c r="K97" s="110" t="str">
        <x:f>IFERROR($J97/$H97,"")</x:f>
      </x:c>
    </x:row>
    <x:row r="98">
      <x:c r="A98" s="85"/>
      <x:c r="B98" s="86"/>
      <x:c r="C98" s="86"/>
      <x:c r="D98" s="86"/>
      <x:c r="E98" s="103"/>
      <x:c r="F98" s="104"/>
      <x:c r="G98" s="105" t="str">
        <x:f>IF($A98="","",'DATOS'!$C$25)</x:f>
      </x:c>
      <x:c r="H98" s="77" t="str">
        <x:f>IF($A98="","",($C98*$G98+$E98)*(1+'DATOS'!$C$16))</x:f>
      </x:c>
      <x:c r="I98" s="77" t="str">
        <x:f>IF(OR($A98="",$D98=""),"",$D98*'DATOS'!$C$24+$E98)</x:f>
      </x:c>
      <x:c r="J98" s="77" t="str">
        <x:f>IF(OR($H98="",$I98=""),"",$H98-$I98)</x:f>
      </x:c>
      <x:c r="K98" s="110" t="str">
        <x:f>IFERROR($J98/$H98,"")</x:f>
      </x:c>
    </x:row>
    <x:row r="99">
      <x:c r="A99" s="85"/>
      <x:c r="B99" s="86"/>
      <x:c r="C99" s="86"/>
      <x:c r="D99" s="86"/>
      <x:c r="E99" s="103"/>
      <x:c r="F99" s="104"/>
      <x:c r="G99" s="105" t="str">
        <x:f>IF($A99="","",'DATOS'!$C$25)</x:f>
      </x:c>
      <x:c r="H99" s="77" t="str">
        <x:f>IF($A99="","",($C99*$G99+$E99)*(1+'DATOS'!$C$16))</x:f>
      </x:c>
      <x:c r="I99" s="77" t="str">
        <x:f>IF(OR($A99="",$D99=""),"",$D99*'DATOS'!$C$24+$E99)</x:f>
      </x:c>
      <x:c r="J99" s="77" t="str">
        <x:f>IF(OR($H99="",$I99=""),"",$H99-$I99)</x:f>
      </x:c>
      <x:c r="K99" s="110" t="str">
        <x:f>IFERROR($J99/$H99,"")</x:f>
      </x:c>
    </x:row>
    <x:row r="100">
      <x:c r="A100" s="85"/>
      <x:c r="B100" s="86"/>
      <x:c r="C100" s="86"/>
      <x:c r="D100" s="86"/>
      <x:c r="E100" s="103"/>
      <x:c r="F100" s="104"/>
      <x:c r="G100" s="105" t="str">
        <x:f>IF($A100="","",'DATOS'!$C$25)</x:f>
      </x:c>
      <x:c r="H100" s="77" t="str">
        <x:f>IF($A100="","",($C100*$G100+$E100)*(1+'DATOS'!$C$16))</x:f>
      </x:c>
      <x:c r="I100" s="77" t="str">
        <x:f>IF(OR($A100="",$D100=""),"",$D100*'DATOS'!$C$24+$E100)</x:f>
      </x:c>
      <x:c r="J100" s="77" t="str">
        <x:f>IF(OR($H100="",$I100=""),"",$H100-$I100)</x:f>
      </x:c>
      <x:c r="K100" s="110" t="str">
        <x:f>IFERROR($J100/$H100,"")</x:f>
      </x:c>
    </x:row>
    <x:row r="101">
      <x:c r="A101" s="85"/>
      <x:c r="B101" s="86"/>
      <x:c r="C101" s="86"/>
      <x:c r="D101" s="86"/>
      <x:c r="E101" s="103"/>
      <x:c r="F101" s="104"/>
      <x:c r="G101" s="105" t="str">
        <x:f>IF($A101="","",'DATOS'!$C$25)</x:f>
      </x:c>
      <x:c r="H101" s="77" t="str">
        <x:f>IF($A101="","",($C101*$G101+$E101)*(1+'DATOS'!$C$16))</x:f>
      </x:c>
      <x:c r="I101" s="77" t="str">
        <x:f>IF(OR($A101="",$D101=""),"",$D101*'DATOS'!$C$24+$E101)</x:f>
      </x:c>
      <x:c r="J101" s="77" t="str">
        <x:f>IF(OR($H101="",$I101=""),"",$H101-$I101)</x:f>
      </x:c>
      <x:c r="K101" s="110" t="str">
        <x:f>IFERROR($J101/$H101,"")</x:f>
      </x:c>
    </x:row>
    <x:row r="102">
      <x:c r="A102" s="85"/>
      <x:c r="B102" s="86"/>
      <x:c r="C102" s="86"/>
      <x:c r="D102" s="86"/>
      <x:c r="E102" s="103"/>
      <x:c r="F102" s="104"/>
      <x:c r="G102" s="105" t="str">
        <x:f>IF($A102="","",'DATOS'!$C$25)</x:f>
      </x:c>
      <x:c r="H102" s="77" t="str">
        <x:f>IF($A102="","",($C102*$G102+$E102)*(1+'DATOS'!$C$16))</x:f>
      </x:c>
      <x:c r="I102" s="77" t="str">
        <x:f>IF(OR($A102="",$D102=""),"",$D102*'DATOS'!$C$24+$E102)</x:f>
      </x:c>
      <x:c r="J102" s="77" t="str">
        <x:f>IF(OR($H102="",$I102=""),"",$H102-$I102)</x:f>
      </x:c>
      <x:c r="K102" s="110" t="str">
        <x:f>IFERROR($J102/$H102,"")</x:f>
      </x:c>
    </x:row>
    <x:row r="103">
      <x:c r="A103" s="85"/>
      <x:c r="B103" s="86"/>
      <x:c r="C103" s="86"/>
      <x:c r="D103" s="86"/>
      <x:c r="E103" s="103"/>
      <x:c r="F103" s="104"/>
      <x:c r="G103" s="105" t="str">
        <x:f>IF($A103="","",'DATOS'!$C$25)</x:f>
      </x:c>
      <x:c r="H103" s="77" t="str">
        <x:f>IF($A103="","",($C103*$G103+$E103)*(1+'DATOS'!$C$16))</x:f>
      </x:c>
      <x:c r="I103" s="77" t="str">
        <x:f>IF(OR($A103="",$D103=""),"",$D103*'DATOS'!$C$24+$E103)</x:f>
      </x:c>
      <x:c r="J103" s="77" t="str">
        <x:f>IF(OR($H103="",$I103=""),"",$H103-$I103)</x:f>
      </x:c>
      <x:c r="K103" s="110" t="str">
        <x:f>IFERROR($J103/$H103,"")</x:f>
      </x:c>
    </x:row>
    <x:row r="104">
      <x:c r="A104" s="85"/>
      <x:c r="B104" s="86"/>
      <x:c r="C104" s="86"/>
      <x:c r="D104" s="86"/>
      <x:c r="E104" s="103"/>
      <x:c r="F104" s="104"/>
      <x:c r="G104" s="105" t="str">
        <x:f>IF($A104="","",'DATOS'!$C$25)</x:f>
      </x:c>
      <x:c r="H104" s="77" t="str">
        <x:f>IF($A104="","",($C104*$G104+$E104)*(1+'DATOS'!$C$16))</x:f>
      </x:c>
      <x:c r="I104" s="77" t="str">
        <x:f>IF(OR($A104="",$D104=""),"",$D104*'DATOS'!$C$24+$E104)</x:f>
      </x:c>
      <x:c r="J104" s="77" t="str">
        <x:f>IF(OR($H104="",$I104=""),"",$H104-$I104)</x:f>
      </x:c>
      <x:c r="K104" s="110" t="str">
        <x:f>IFERROR($J104/$H104,"")</x:f>
      </x:c>
    </x:row>
    <x:row r="105">
      <x:c r="A105" s="85"/>
      <x:c r="B105" s="86"/>
      <x:c r="C105" s="86"/>
      <x:c r="D105" s="86"/>
      <x:c r="E105" s="103"/>
      <x:c r="F105" s="104"/>
      <x:c r="G105" s="105" t="str">
        <x:f>IF($A105="","",'DATOS'!$C$25)</x:f>
      </x:c>
      <x:c r="H105" s="77" t="str">
        <x:f>IF($A105="","",($C105*$G105+$E105)*(1+'DATOS'!$C$16))</x:f>
      </x:c>
      <x:c r="I105" s="77" t="str">
        <x:f>IF(OR($A105="",$D105=""),"",$D105*'DATOS'!$C$24+$E105)</x:f>
      </x:c>
      <x:c r="J105" s="77" t="str">
        <x:f>IF(OR($H105="",$I105=""),"",$H105-$I105)</x:f>
      </x:c>
      <x:c r="K105" s="110" t="str">
        <x:f>IFERROR($J105/$H105,"")</x:f>
      </x:c>
    </x:row>
    <x:row r="106">
      <x:c r="A106" s="85"/>
      <x:c r="B106" s="86"/>
      <x:c r="C106" s="86"/>
      <x:c r="D106" s="86"/>
      <x:c r="E106" s="103"/>
      <x:c r="F106" s="104"/>
      <x:c r="G106" s="105" t="str">
        <x:f>IF($A106="","",'DATOS'!$C$25)</x:f>
      </x:c>
      <x:c r="H106" s="77" t="str">
        <x:f>IF($A106="","",($C106*$G106+$E106)*(1+'DATOS'!$C$16))</x:f>
      </x:c>
      <x:c r="I106" s="77" t="str">
        <x:f>IF(OR($A106="",$D106=""),"",$D106*'DATOS'!$C$24+$E106)</x:f>
      </x:c>
      <x:c r="J106" s="77" t="str">
        <x:f>IF(OR($H106="",$I106=""),"",$H106-$I106)</x:f>
      </x:c>
      <x:c r="K106" s="110" t="str">
        <x:f>IFERROR($J106/$H106,"")</x:f>
      </x:c>
    </x:row>
    <x:row r="107">
      <x:c r="A107" s="88"/>
      <x:c r="B107" s="89"/>
      <x:c r="C107" s="89"/>
      <x:c r="D107" s="89"/>
      <x:c r="E107" s="106"/>
      <x:c r="F107" s="107"/>
      <x:c r="G107" s="108" t="str">
        <x:f>IF($A107="","",'DATOS'!$C$25)</x:f>
      </x:c>
      <x:c r="H107" s="80" t="str">
        <x:f>IF($A107="","",($C107*$G107+$E107)*(1+'DATOS'!$C$16))</x:f>
      </x:c>
      <x:c r="I107" s="80" t="str">
        <x:f>IF(OR($A107="",$D107=""),"",$D107*'DATOS'!$C$24+$E107)</x:f>
      </x:c>
      <x:c r="J107" s="80" t="str">
        <x:f>IF(OR($H107="",$I107=""),"",$H107-$I107)</x:f>
      </x:c>
      <x:c r="K107" s="111" t="str">
        <x:f>IFERROR($J107/$H107,"")</x:f>
      </x:c>
    </x:row>
  </x:sheetData>
  <x:mergeCells>
    <x:mergeCell ref="A1:K1"/>
    <x:mergeCell ref="A2:K2"/>
  </x:mergeCells>
  <x:dataValidations count="1">
    <x:dataValidation type="list" sqref="F8:F107">
      <x:formula1>"Propuesta,En curso,Terminado,Cancelado"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4" hidden="0" customWidth="1"/>
    <x:col min="5" max="5" width="30" hidden="0" customWidth="1"/>
    <x:col min="6" max="6" width="3" hidden="0" customWidth="1"/>
  </x:cols>
  <x:sheetData>
    <x:row r="1" ht="34" customHeight="1">
      <x:c r="A1" s="4" t="str">
        <x:v>CONTROL DE CÁLCULO</x:v>
      </x:c>
      <x:c r="B1" s="4"/>
      <x:c r="C1" s="4"/>
      <x:c r="D1" s="4"/>
      <x:c r="E1" s="4"/>
      <x:c r="F1" s="4"/>
    </x:row>
    <x:row r="2" ht="24" customHeight="1">
      <x:c r="A2" s="7" t="str">
        <x:v>Comprueba que las relaciones base mantienen coherencia.</x:v>
      </x:c>
      <x:c r="B2" s="7"/>
      <x:c r="C2" s="7"/>
      <x:c r="D2" s="7"/>
      <x:c r="E2" s="7"/>
      <x:c r="F2" s="7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2" customHeight="1">
      <x:c r="A5" s="67" t="str">
        <x:v>Comprobación</x:v>
      </x:c>
      <x:c r="B5" s="67" t="str">
        <x:v>Actual</x:v>
      </x:c>
      <x:c r="C5" s="67" t="str">
        <x:v>Esperado</x:v>
      </x:c>
      <x:c r="D5" s="67" t="str">
        <x:v>Estado</x:v>
      </x:c>
      <x:c r="E5" s="67" t="str">
        <x:v>Dónde revisar</x:v>
      </x:c>
      <x:c r="F5" s="2"/>
    </x:row>
    <x:row r="6">
      <x:c r="A6" s="141" t="str">
        <x:v>Neto anual</x:v>
      </x:c>
      <x:c r="B6" s="138" t="n">
        <x:f>'DATOS'!C20</x:f>
        <x:v>36000</x:v>
      </x:c>
      <x:c r="C6" s="138" t="n">
        <x:f>'DATOS'!C6*'DATOS'!C7</x:f>
        <x:v>36000</x:v>
      </x:c>
      <x:c r="D6" s="142" t="str">
        <x:f>IF(ABS(B6-C6)&lt;0.01,"OK","REVISAR")</x:f>
        <x:v>OK</x:v>
      </x:c>
      <x:c r="E6" s="144" t="str">
        <x:v>DATOS objetivo mensual y meses</x:v>
      </x:c>
      <x:c r="F6" s="2"/>
    </x:row>
    <x:row r="7">
      <x:c r="A7" s="141" t="str">
        <x:v>Horas facturables</x:v>
      </x:c>
      <x:c r="B7" s="138" t="n">
        <x:f>'DATOS'!C23</x:f>
        <x:v>1145.625</x:v>
      </x:c>
      <x:c r="C7" s="138" t="n">
        <x:f>'DATOS'!C22*(1-'DATOS'!C13)</x:f>
        <x:v>1145.625</x:v>
      </x:c>
      <x:c r="D7" s="142" t="str">
        <x:f>IF(ABS(B7-C7)&lt;0.01,"OK","REVISAR")</x:f>
        <x:v>OK</x:v>
      </x:c>
      <x:c r="E7" s="144" t="str">
        <x:v>DATOS horas y tiempo no facturable</x:v>
      </x:c>
      <x:c r="F7" s="2"/>
    </x:row>
    <x:row r="8">
      <x:c r="A8" s="141" t="str">
        <x:v>Escenario con margen</x:v>
      </x:c>
      <x:c r="B8" s="138" t="n">
        <x:f>'DATOS'!C25</x:f>
        <x:v>62.7565083134545</x:v>
      </x:c>
      <x:c r="C8" s="138" t="n">
        <x:f>'DATOS'!C24/(1-'DATOS'!C14)</x:f>
        <x:v>62.7565083134545</x:v>
      </x:c>
      <x:c r="D8" s="142" t="str">
        <x:f>IF(ABS(B8-C8)&lt;0.01,"OK","REVISAR")</x:f>
        <x:v>OK</x:v>
      </x:c>
      <x:c r="E8" s="144" t="str">
        <x:v>Escenario base y margen configurado</x:v>
      </x:c>
      <x:c r="F8" s="2"/>
    </x:row>
    <x:row r="9">
      <x:c r="A9" s="141" t="str">
        <x:v>Objetivo de facturación</x:v>
      </x:c>
      <x:c r="B9" s="138" t="n">
        <x:f>'TARIFAS'!J5</x:f>
        <x:v>71895.42483660132</x:v>
      </x:c>
      <x:c r="C9" s="138" t="n">
        <x:f>'DATOS'!C21/(1-'DATOS'!C14)</x:f>
        <x:v>71895.42483660132</x:v>
      </x:c>
      <x:c r="D9" s="142" t="str">
        <x:f>IF(ABS(B9-C9)&lt;0.01,"OK","REVISAR")</x:f>
        <x:v>OK</x:v>
      </x:c>
      <x:c r="E9" s="144" t="str">
        <x:v>Facturación base y margen objetivo</x:v>
      </x:c>
      <x:c r="F9" s="2"/>
    </x:row>
    <x:row r="10">
      <x:c r="A10"/>
      <x:c r="B10"/>
      <x:c r="C10"/>
      <x:c r="D10"/>
      <x:c r="E10"/>
      <x:c r="F10" s="2"/>
    </x:row>
    <x:row r="11">
      <x:c r="A11"/>
      <x:c r="B11"/>
      <x:c r="C11"/>
      <x:c r="D11"/>
      <x:c r="E11"/>
      <x:c r="F11" s="2"/>
    </x:row>
    <x:row r="12" ht="28" customHeight="1">
      <x:c r="A12" s="147" t="str">
        <x:v>ESTADO DEL MODELO</x:v>
      </x:c>
      <x:c r="B12" s="148"/>
      <x:c r="C12" s="148"/>
      <x:c r="D12" s="150" t="str">
        <x:f>IF(COUNTIF(D6:D9,"REVISAR")=0,"OK","REVISAR")</x:f>
        <x:v>OK</x:v>
      </x:c>
      <x:c r="E12" s="151"/>
      <x:c r="F12" s="2"/>
    </x:row>
    <x:row r="13">
      <x:c r="A13"/>
      <x:c r="B13"/>
      <x:c r="C13"/>
      <x:c r="D13"/>
      <x:c r="E13"/>
      <x:c r="F13" s="2"/>
    </x:row>
    <x:row r="14">
      <x:c r="A14"/>
      <x:c r="B14"/>
      <x:c r="C14"/>
      <x:c r="D14"/>
      <x:c r="E14"/>
      <x:c r="F14" s="2"/>
    </x:row>
    <x:row r="15">
      <x:c r="A15"/>
      <x:c r="B15"/>
      <x:c r="C15"/>
      <x:c r="D15"/>
      <x:c r="E15"/>
      <x:c r="F15" s="2"/>
    </x:row>
    <x:row r="16">
      <x:c r="A16"/>
      <x:c r="B16"/>
      <x:c r="C16"/>
      <x:c r="D16"/>
      <x:c r="E16"/>
      <x:c r="F16" s="2"/>
    </x:row>
    <x:row r="17">
      <x:c r="A17"/>
      <x:c r="B17"/>
      <x:c r="C17"/>
      <x:c r="D17"/>
      <x:c r="E17"/>
      <x:c r="F17" s="2"/>
    </x:row>
    <x:row r="18">
      <x:c r="A18"/>
      <x:c r="B18"/>
      <x:c r="C18"/>
      <x:c r="D18"/>
      <x:c r="E18"/>
      <x:c r="F18" s="2"/>
    </x:row>
    <x:row r="19">
      <x:c r="A19"/>
      <x:c r="B19"/>
      <x:c r="C19"/>
      <x:c r="D19"/>
      <x:c r="E19"/>
      <x:c r="F19" s="2"/>
    </x:row>
    <x:row r="20">
      <x:c r="A20"/>
      <x:c r="B20"/>
      <x:c r="C20"/>
      <x:c r="D20"/>
      <x:c r="E20"/>
      <x:c r="F20" s="2"/>
    </x:row>
  </x:sheetData>
  <x:mergeCells>
    <x:mergeCell ref="A1:F1"/>
    <x:mergeCell ref="A2:F2"/>
    <x:mergeCell ref="A12:C12"/>
    <x:mergeCell ref="D12:E12"/>
  </x:mergeCells>
  <x:conditionalFormatting sqref="D6:D8">
    <x:cfRule type="containsText" dxfId="0" priority="1" operator="containsText" text="OK"/>
    <x:cfRule type="containsText" dxfId="1" priority="2" operator="containsText" text="REVIEW"/>
  </x:conditionalFormatting>
  <x:conditionalFormatting sqref="D11:E11">
    <x:cfRule type="containsText" dxfId="2" priority="3" operator="containsText" text="OK"/>
    <x:cfRule type="containsText" dxfId="3" priority="4" operator="containsText" text="REVIEW"/>
  </x:conditionalFormatting>
  <x:conditionalFormatting sqref="D6:D9">
    <x:cfRule type="containsText" dxfId="4" priority="5" operator="containsText" text="OK"/>
    <x:cfRule type="containsText" dxfId="5" priority="6" operator="containsText" text="REVISAR"/>
  </x:conditionalFormatting>
  <x:conditionalFormatting sqref="D12:E12">
    <x:cfRule type="containsText" dxfId="6" priority="7" operator="containsText" text="OK"/>
    <x:cfRule type="containsText" dxfId="7" priority="8" operator="containsText" text="REVISAR"/>
  </x:conditionalFormatting>
  <x:pageMargins left="0.7" right="0.7" top="0.75" bottom="0.75" header="0.3" footer="0.3"/>
</x:worksheet>
</file>