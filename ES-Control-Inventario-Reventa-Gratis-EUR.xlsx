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INVENTARIO" sheetId="3" state="visible" r:id="rId3"/>
    <sheet xmlns:r="http://schemas.openxmlformats.org/officeDocument/2006/relationships" name="CANALES" sheetId="4" state="visible" r:id="rId4"/>
    <sheet xmlns:r="http://schemas.openxmlformats.org/officeDocument/2006/relationships" name="RESUMEN" sheetId="5" state="visible" r:id="rId5"/>
    <sheet xmlns:r="http://schemas.openxmlformats.org/officeDocument/2006/relationships" name="CONTROLES" sheetId="6" state="visible" r:id="rId6"/>
  </sheets>
  <definedNames>
    <definedName name="_xlnm.Print_Area" localSheetId="2">'INVENTARIO'!$A$1:$U$57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%;[RED]\(0.0%\);\-"/>
    <numFmt numFmtId="166" formatCode="#,##0.00&quot; €&quot;;[RED]\(#,##0.00&quot; €)&quot;;\-"/>
  </numFmts>
  <fonts count="2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ptos Display"/>
      <charset val="1"/>
      <family val="0"/>
      <b val="1"/>
      <color rgb="FFFFFFFF"/>
      <sz val="20"/>
    </font>
    <font>
      <name val="Aptos"/>
      <charset val="1"/>
      <family val="0"/>
      <color rgb="FF63758A"/>
      <sz val="10"/>
    </font>
    <font>
      <name val="Aptos"/>
      <charset val="1"/>
      <family val="0"/>
      <color rgb="FF17202A"/>
      <sz val="10"/>
    </font>
    <font>
      <name val="Aptos"/>
      <charset val="1"/>
      <family val="0"/>
      <b val="1"/>
      <color rgb="FFFFFFFF"/>
      <sz val="11"/>
    </font>
    <font>
      <name val="Aptos"/>
      <charset val="1"/>
      <family val="0"/>
      <b val="1"/>
      <color rgb="FFB85C38"/>
      <sz val="10"/>
    </font>
    <font>
      <name val="Aptos"/>
      <charset val="1"/>
      <family val="0"/>
      <b val="1"/>
      <color rgb="FF0000FF"/>
      <sz val="10"/>
    </font>
    <font>
      <name val="Aptos"/>
      <charset val="1"/>
      <family val="0"/>
      <b val="1"/>
      <color rgb="FF17202A"/>
      <sz val="10"/>
    </font>
    <font>
      <name val="Aptos"/>
      <charset val="1"/>
      <family val="0"/>
      <b val="1"/>
      <color rgb="FFFFFFFF"/>
      <sz val="10"/>
    </font>
    <font>
      <name val="Aptos"/>
      <charset val="1"/>
      <family val="0"/>
      <i val="1"/>
      <color rgb="FF63758A"/>
      <sz val="10"/>
    </font>
    <font>
      <name val="Aptos"/>
      <charset val="1"/>
      <family val="0"/>
      <color rgb="FF0000FF"/>
      <sz val="10"/>
    </font>
    <font>
      <name val="Aptos"/>
      <charset val="1"/>
      <family val="0"/>
      <b val="1"/>
      <color rgb="FFFFFFFF"/>
      <sz val="9"/>
    </font>
    <font>
      <name val="Aptos"/>
      <charset val="1"/>
      <family val="0"/>
      <b val="1"/>
      <color rgb="FF63758A"/>
      <sz val="10"/>
    </font>
    <font>
      <name val="Aptos"/>
      <charset val="1"/>
      <family val="0"/>
      <b val="1"/>
      <color rgb="FFB85C38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0"/>
      <b val="1"/>
      <color rgb="FF17202A"/>
      <sz val="11"/>
    </font>
    <font>
      <name val="Calibri"/>
      <charset val="1"/>
      <family val="0"/>
      <color rgb="FF63758A"/>
      <sz val="11"/>
    </font>
    <font>
      <name val="Calibri"/>
      <charset val="1"/>
      <family val="0"/>
      <b val="1"/>
      <sz val="11"/>
    </font>
  </fonts>
  <fills count="7">
    <fill>
      <patternFill/>
    </fill>
    <fill>
      <patternFill patternType="gray125"/>
    </fill>
    <fill>
      <patternFill patternType="solid">
        <fgColor rgb="FFB85C38"/>
        <bgColor rgb="FFA33A2B"/>
      </patternFill>
    </fill>
    <fill>
      <patternFill patternType="solid">
        <fgColor rgb="FFF7F9FC"/>
        <bgColor rgb="FFFFFFFF"/>
      </patternFill>
    </fill>
    <fill>
      <patternFill patternType="solid">
        <fgColor rgb="FFFFF4C7"/>
        <bgColor rgb="FFFCE8E6"/>
      </patternFill>
    </fill>
    <fill>
      <patternFill patternType="solid">
        <fgColor rgb="FFEAF0F6"/>
        <bgColor rgb="FFE3F3E8"/>
      </patternFill>
    </fill>
    <fill>
      <patternFill patternType="solid">
        <fgColor rgb="FFFFFFFF"/>
        <bgColor rgb="FFF7F9FC"/>
      </patternFill>
    </fill>
  </fills>
  <borders count="21">
    <border>
      <left/>
      <right/>
      <top/>
      <bottom/>
      <diagonal/>
    </border>
    <border>
      <left/>
      <right/>
      <top/>
      <bottom style="thin">
        <color rgb="FFD6DEE8"/>
      </bottom>
      <diagonal/>
    </border>
    <border>
      <left/>
      <right/>
      <top style="thin">
        <color rgb="FFD6DEE8"/>
      </top>
      <bottom style="thin">
        <color rgb="FFD6DEE8"/>
      </bottom>
      <diagonal/>
    </border>
    <border>
      <left/>
      <right/>
      <top style="thin">
        <color rgb="FFD6DEE8"/>
      </top>
      <bottom/>
      <diagonal/>
    </border>
    <border>
      <left/>
      <right style="thin">
        <color rgb="FFD6DEE8"/>
      </right>
      <top/>
      <bottom style="thin">
        <color rgb="FFD6DEE8"/>
      </bottom>
      <diagonal/>
    </border>
    <border>
      <left style="thin">
        <color rgb="FFD6DEE8"/>
      </left>
      <right/>
      <top/>
      <bottom style="thin">
        <color rgb="FFD6DEE8"/>
      </bottom>
      <diagonal/>
    </border>
    <border>
      <left/>
      <right style="thin">
        <color rgb="FFD6DEE8"/>
      </right>
      <top style="thin">
        <color rgb="FFD6DEE8"/>
      </top>
      <bottom style="thin">
        <color rgb="FFD6DEE8"/>
      </bottom>
      <diagonal/>
    </border>
    <border>
      <left style="thin">
        <color rgb="FFD6DEE8"/>
      </left>
      <right/>
      <top style="thin">
        <color rgb="FFD6DEE8"/>
      </top>
      <bottom style="thin">
        <color rgb="FFD6DEE8"/>
      </bottom>
      <diagonal/>
    </border>
    <border>
      <left/>
      <right style="thin">
        <color rgb="FFD6DEE8"/>
      </right>
      <top style="thin">
        <color rgb="FFD6DEE8"/>
      </top>
      <bottom/>
      <diagonal/>
    </border>
    <border>
      <left style="thin">
        <color rgb="FFD6DEE8"/>
      </left>
      <right/>
      <top style="thin">
        <color rgb="FFD6DEE8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DEE8"/>
      </left>
      <right style="thin">
        <color rgb="FFD6DEE8"/>
      </right>
      <top/>
      <bottom style="thin">
        <color rgb="FFD6DEE8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/>
      <diagonal/>
    </border>
    <border>
      <left style="medium">
        <color rgb="FF40566E"/>
      </left>
      <right/>
      <top style="medium">
        <color rgb="FF40566E"/>
      </top>
      <bottom style="medium">
        <color rgb="FF40566E"/>
      </bottom>
      <diagonal/>
    </border>
    <border>
      <left/>
      <right style="medium">
        <color rgb="FF40566E"/>
      </right>
      <top style="medium">
        <color rgb="FF40566E"/>
      </top>
      <bottom style="medium">
        <color rgb="FF40566E"/>
      </bottom>
      <diagonal/>
    </border>
    <border>
      <left style="thin">
        <color rgb="FFD6DEE8"/>
      </left>
      <right/>
      <top/>
      <bottom/>
      <diagonal/>
    </border>
    <border>
      <left/>
      <right style="thin">
        <color rgb="FFD6DEE8"/>
      </right>
      <top/>
      <bottom/>
      <diagonal/>
    </border>
    <border>
      <left/>
      <right/>
      <top style="medium">
        <color rgb="FF40566E"/>
      </top>
      <bottom/>
      <diagonal/>
    </border>
    <border>
      <left/>
      <right/>
      <top style="medium">
        <color rgb="FF40566E"/>
      </top>
      <bottom style="medium">
        <color rgb="FF40566E"/>
      </bottom>
      <diagonal/>
    </border>
    <border>
      <left/>
      <right style="medium">
        <color rgb="FF40566E"/>
      </right>
      <top style="medium">
        <color rgb="FF40566E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5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/>
    </xf>
    <xf numFmtId="0" fontId="6" fillId="3" borderId="0" applyAlignment="1" pivotButton="0" quotePrefix="0" xfId="20">
      <alignment horizontal="general" vertical="center" wrapText="1"/>
    </xf>
    <xf numFmtId="0" fontId="7" fillId="0" borderId="0" applyAlignment="1" pivotButton="0" quotePrefix="0" xfId="20">
      <alignment horizontal="general" vertical="center"/>
    </xf>
    <xf numFmtId="0" fontId="8" fillId="2" borderId="0" applyAlignment="1" pivotButton="0" quotePrefix="0" xfId="20">
      <alignment horizontal="general" vertical="center"/>
    </xf>
    <xf numFmtId="0" fontId="9" fillId="0" borderId="0" applyAlignment="1" pivotButton="0" quotePrefix="0" xfId="20">
      <alignment horizontal="center" vertical="center"/>
    </xf>
    <xf numFmtId="0" fontId="7" fillId="0" borderId="0" applyAlignment="1" pivotButton="0" quotePrefix="0" xfId="20">
      <alignment horizontal="general" vertical="center" wrapText="1"/>
    </xf>
    <xf numFmtId="0" fontId="10" fillId="4" borderId="0" applyAlignment="1" pivotButton="0" quotePrefix="0" xfId="20">
      <alignment horizontal="general" vertical="center"/>
    </xf>
    <xf numFmtId="0" fontId="11" fillId="5" borderId="0" applyAlignment="1" pivotButton="0" quotePrefix="0" xfId="20">
      <alignment horizontal="general" vertical="center"/>
    </xf>
    <xf numFmtId="0" fontId="12" fillId="2" borderId="0" applyAlignment="1" pivotButton="0" quotePrefix="0" xfId="20">
      <alignment horizontal="general" vertical="center"/>
    </xf>
    <xf numFmtId="0" fontId="13" fillId="3" borderId="0" applyAlignment="1" pivotButton="0" quotePrefix="0" xfId="20">
      <alignment horizontal="general" vertical="top" wrapText="1"/>
    </xf>
    <xf numFmtId="164" fontId="14" fillId="4" borderId="1" applyAlignment="1" pivotButton="0" quotePrefix="0" xfId="20">
      <alignment horizontal="general" vertical="center"/>
    </xf>
    <xf numFmtId="0" fontId="14" fillId="4" borderId="2" applyAlignment="1" pivotButton="0" quotePrefix="0" xfId="20">
      <alignment horizontal="general" vertical="center"/>
    </xf>
    <xf numFmtId="0" fontId="14" fillId="4" borderId="3" applyAlignment="1" pivotButton="0" quotePrefix="0" xfId="20">
      <alignment horizontal="general" vertical="center"/>
    </xf>
    <xf numFmtId="0" fontId="14" fillId="4" borderId="1" applyAlignment="1" pivotButton="0" quotePrefix="0" xfId="20">
      <alignment horizontal="general" vertical="center"/>
    </xf>
    <xf numFmtId="0" fontId="14" fillId="4" borderId="4" applyAlignment="1" pivotButton="0" quotePrefix="0" xfId="20">
      <alignment horizontal="general" vertical="center"/>
    </xf>
    <xf numFmtId="165" fontId="14" fillId="4" borderId="5" applyAlignment="1" pivotButton="0" quotePrefix="0" xfId="20">
      <alignment horizontal="general" vertical="center"/>
    </xf>
    <xf numFmtId="0" fontId="14" fillId="4" borderId="6" applyAlignment="1" pivotButton="0" quotePrefix="0" xfId="20">
      <alignment horizontal="general" vertical="center"/>
    </xf>
    <xf numFmtId="165" fontId="14" fillId="4" borderId="7" applyAlignment="1" pivotButton="0" quotePrefix="0" xfId="20">
      <alignment horizontal="general" vertical="center"/>
    </xf>
    <xf numFmtId="0" fontId="14" fillId="4" borderId="8" applyAlignment="1" pivotButton="0" quotePrefix="0" xfId="20">
      <alignment horizontal="general" vertical="center"/>
    </xf>
    <xf numFmtId="165" fontId="14" fillId="4" borderId="9" applyAlignment="1" pivotButton="0" quotePrefix="0" xfId="20">
      <alignment horizontal="general" vertical="center"/>
    </xf>
    <xf numFmtId="0" fontId="14" fillId="4" borderId="5" applyAlignment="1" pivotButton="0" quotePrefix="0" xfId="20">
      <alignment horizontal="general" vertical="center"/>
    </xf>
    <xf numFmtId="0" fontId="14" fillId="4" borderId="7" applyAlignment="1" pivotButton="0" quotePrefix="0" xfId="20">
      <alignment horizontal="general" vertical="center"/>
    </xf>
    <xf numFmtId="0" fontId="14" fillId="4" borderId="9" applyAlignment="1" pivotButton="0" quotePrefix="0" xfId="20">
      <alignment horizontal="general" vertical="center"/>
    </xf>
    <xf numFmtId="0" fontId="15" fillId="2" borderId="10" applyAlignment="1" pivotButton="0" quotePrefix="0" xfId="20">
      <alignment horizontal="center" vertical="center" wrapText="1"/>
    </xf>
    <xf numFmtId="164" fontId="14" fillId="4" borderId="11" applyAlignment="1" pivotButton="0" quotePrefix="0" xfId="20">
      <alignment horizontal="general" vertical="center"/>
    </xf>
    <xf numFmtId="0" fontId="14" fillId="4" borderId="11" applyAlignment="1" pivotButton="0" quotePrefix="0" xfId="20">
      <alignment horizontal="general" vertical="center"/>
    </xf>
    <xf numFmtId="166" fontId="14" fillId="4" borderId="11" applyAlignment="1" pivotButton="0" quotePrefix="0" xfId="20">
      <alignment horizontal="general" vertical="center"/>
    </xf>
    <xf numFmtId="166" fontId="14" fillId="4" borderId="5" applyAlignment="1" pivotButton="0" quotePrefix="0" xfId="20">
      <alignment horizontal="general" vertical="center"/>
    </xf>
    <xf numFmtId="166" fontId="7" fillId="5" borderId="1" applyAlignment="1" pivotButton="0" quotePrefix="0" xfId="20">
      <alignment horizontal="general" vertical="center"/>
    </xf>
    <xf numFmtId="166" fontId="14" fillId="4" borderId="4" applyAlignment="1" pivotButton="0" quotePrefix="0" xfId="20">
      <alignment horizontal="general" vertical="center"/>
    </xf>
    <xf numFmtId="165" fontId="7" fillId="5" borderId="4" applyAlignment="1" pivotButton="0" quotePrefix="0" xfId="20">
      <alignment horizontal="general" vertical="center"/>
    </xf>
    <xf numFmtId="166" fontId="7" fillId="5" borderId="5" applyAlignment="1" pivotButton="0" quotePrefix="0" xfId="20">
      <alignment horizontal="general" vertical="center"/>
    </xf>
    <xf numFmtId="166" fontId="7" fillId="5" borderId="4" applyAlignment="1" pivotButton="0" quotePrefix="0" xfId="20">
      <alignment horizontal="general" vertical="center"/>
    </xf>
    <xf numFmtId="166" fontId="7" fillId="5" borderId="11" applyAlignment="1" pivotButton="0" quotePrefix="0" xfId="20">
      <alignment horizontal="general" vertical="center"/>
    </xf>
    <xf numFmtId="165" fontId="7" fillId="5" borderId="11" applyAlignment="1" pivotButton="0" quotePrefix="0" xfId="20">
      <alignment horizontal="general" vertical="center"/>
    </xf>
    <xf numFmtId="0" fontId="7" fillId="5" borderId="5" applyAlignment="1" pivotButton="0" quotePrefix="0" xfId="20">
      <alignment horizontal="general" vertical="center"/>
    </xf>
    <xf numFmtId="164" fontId="14" fillId="4" borderId="12" applyAlignment="1" pivotButton="0" quotePrefix="0" xfId="20">
      <alignment horizontal="general" vertical="center"/>
    </xf>
    <xf numFmtId="0" fontId="14" fillId="4" borderId="12" applyAlignment="1" pivotButton="0" quotePrefix="0" xfId="20">
      <alignment horizontal="general" vertical="center"/>
    </xf>
    <xf numFmtId="166" fontId="14" fillId="4" borderId="12" applyAlignment="1" pivotButton="0" quotePrefix="0" xfId="20">
      <alignment horizontal="general" vertical="center"/>
    </xf>
    <xf numFmtId="166" fontId="14" fillId="4" borderId="7" applyAlignment="1" pivotButton="0" quotePrefix="0" xfId="20">
      <alignment horizontal="general" vertical="center"/>
    </xf>
    <xf numFmtId="166" fontId="7" fillId="5" borderId="2" applyAlignment="1" pivotButton="0" quotePrefix="0" xfId="20">
      <alignment horizontal="general" vertical="center"/>
    </xf>
    <xf numFmtId="166" fontId="14" fillId="4" borderId="6" applyAlignment="1" pivotButton="0" quotePrefix="0" xfId="20">
      <alignment horizontal="general" vertical="center"/>
    </xf>
    <xf numFmtId="165" fontId="7" fillId="5" borderId="6" applyAlignment="1" pivotButton="0" quotePrefix="0" xfId="20">
      <alignment horizontal="general" vertical="center"/>
    </xf>
    <xf numFmtId="166" fontId="7" fillId="5" borderId="7" applyAlignment="1" pivotButton="0" quotePrefix="0" xfId="20">
      <alignment horizontal="general" vertical="center"/>
    </xf>
    <xf numFmtId="166" fontId="7" fillId="5" borderId="6" applyAlignment="1" pivotButton="0" quotePrefix="0" xfId="20">
      <alignment horizontal="general" vertical="center"/>
    </xf>
    <xf numFmtId="166" fontId="7" fillId="5" borderId="12" applyAlignment="1" pivotButton="0" quotePrefix="0" xfId="20">
      <alignment horizontal="general" vertical="center"/>
    </xf>
    <xf numFmtId="165" fontId="7" fillId="5" borderId="12" applyAlignment="1" pivotButton="0" quotePrefix="0" xfId="20">
      <alignment horizontal="general" vertical="center"/>
    </xf>
    <xf numFmtId="0" fontId="7" fillId="5" borderId="7" applyAlignment="1" pivotButton="0" quotePrefix="0" xfId="20">
      <alignment horizontal="general" vertical="center"/>
    </xf>
    <xf numFmtId="164" fontId="14" fillId="4" borderId="13" applyAlignment="1" pivotButton="0" quotePrefix="0" xfId="20">
      <alignment horizontal="general" vertical="center"/>
    </xf>
    <xf numFmtId="0" fontId="14" fillId="4" borderId="13" applyAlignment="1" pivotButton="0" quotePrefix="0" xfId="20">
      <alignment horizontal="general" vertical="center"/>
    </xf>
    <xf numFmtId="166" fontId="14" fillId="4" borderId="13" applyAlignment="1" pivotButton="0" quotePrefix="0" xfId="20">
      <alignment horizontal="general" vertical="center"/>
    </xf>
    <xf numFmtId="166" fontId="14" fillId="4" borderId="9" applyAlignment="1" pivotButton="0" quotePrefix="0" xfId="20">
      <alignment horizontal="general" vertical="center"/>
    </xf>
    <xf numFmtId="166" fontId="7" fillId="5" borderId="3" applyAlignment="1" pivotButton="0" quotePrefix="0" xfId="20">
      <alignment horizontal="general" vertical="center"/>
    </xf>
    <xf numFmtId="166" fontId="14" fillId="4" borderId="8" applyAlignment="1" pivotButton="0" quotePrefix="0" xfId="20">
      <alignment horizontal="general" vertical="center"/>
    </xf>
    <xf numFmtId="165" fontId="7" fillId="5" borderId="8" applyAlignment="1" pivotButton="0" quotePrefix="0" xfId="20">
      <alignment horizontal="general" vertical="center"/>
    </xf>
    <xf numFmtId="166" fontId="7" fillId="5" borderId="9" applyAlignment="1" pivotButton="0" quotePrefix="0" xfId="20">
      <alignment horizontal="general" vertical="center"/>
    </xf>
    <xf numFmtId="166" fontId="7" fillId="5" borderId="8" applyAlignment="1" pivotButton="0" quotePrefix="0" xfId="20">
      <alignment horizontal="general" vertical="center"/>
    </xf>
    <xf numFmtId="166" fontId="7" fillId="5" borderId="13" applyAlignment="1" pivotButton="0" quotePrefix="0" xfId="20">
      <alignment horizontal="general" vertical="center"/>
    </xf>
    <xf numFmtId="165" fontId="7" fillId="5" borderId="13" applyAlignment="1" pivotButton="0" quotePrefix="0" xfId="20">
      <alignment horizontal="general" vertical="center"/>
    </xf>
    <xf numFmtId="0" fontId="7" fillId="5" borderId="9" applyAlignment="1" pivotButton="0" quotePrefix="0" xfId="20">
      <alignment horizontal="general" vertical="center"/>
    </xf>
    <xf numFmtId="0" fontId="7" fillId="5" borderId="4" applyAlignment="1" pivotButton="0" quotePrefix="0" xfId="20">
      <alignment horizontal="general" vertical="center"/>
    </xf>
    <xf numFmtId="0" fontId="7" fillId="5" borderId="11" applyAlignment="1" pivotButton="0" quotePrefix="0" xfId="20">
      <alignment horizontal="general" vertical="center"/>
    </xf>
    <xf numFmtId="0" fontId="7" fillId="5" borderId="6" applyAlignment="1" pivotButton="0" quotePrefix="0" xfId="20">
      <alignment horizontal="general" vertical="center"/>
    </xf>
    <xf numFmtId="0" fontId="7" fillId="5" borderId="12" applyAlignment="1" pivotButton="0" quotePrefix="0" xfId="20">
      <alignment horizontal="general" vertical="center"/>
    </xf>
    <xf numFmtId="0" fontId="7" fillId="5" borderId="8" applyAlignment="1" pivotButton="0" quotePrefix="0" xfId="20">
      <alignment horizontal="general" vertical="center"/>
    </xf>
    <xf numFmtId="0" fontId="7" fillId="5" borderId="13" applyAlignment="1" pivotButton="0" quotePrefix="0" xfId="20">
      <alignment horizontal="general" vertical="center"/>
    </xf>
    <xf numFmtId="0" fontId="16" fillId="3" borderId="12" applyAlignment="1" pivotButton="0" quotePrefix="0" xfId="20">
      <alignment horizontal="center" vertical="center"/>
    </xf>
    <xf numFmtId="166" fontId="17" fillId="6" borderId="12" applyAlignment="1" pivotButton="0" quotePrefix="0" xfId="20">
      <alignment horizontal="center" vertical="center"/>
    </xf>
    <xf numFmtId="165" fontId="17" fillId="6" borderId="12" applyAlignment="1" pivotButton="0" quotePrefix="0" xfId="20">
      <alignment horizontal="center" vertical="center"/>
    </xf>
    <xf numFmtId="166" fontId="7" fillId="0" borderId="0" applyAlignment="1" pivotButton="0" quotePrefix="0" xfId="20">
      <alignment horizontal="general" vertical="center"/>
    </xf>
    <xf numFmtId="0" fontId="21" fillId="3" borderId="12" applyAlignment="1" pivotButton="0" quotePrefix="0" xfId="20">
      <alignment horizontal="general" vertical="bottom" wrapText="1"/>
    </xf>
    <xf numFmtId="166" fontId="4" fillId="0" borderId="12" applyAlignment="1" pivotButton="0" quotePrefix="0" xfId="20">
      <alignment horizontal="general" vertical="bottom"/>
    </xf>
    <xf numFmtId="0" fontId="4" fillId="0" borderId="12" applyAlignment="1" pivotButton="0" quotePrefix="0" xfId="20">
      <alignment horizontal="center" vertical="bottom"/>
    </xf>
    <xf numFmtId="0" fontId="22" fillId="0" borderId="12" applyAlignment="1" pivotButton="0" quotePrefix="0" xfId="20">
      <alignment horizontal="general" vertical="bottom" wrapText="1"/>
    </xf>
    <xf numFmtId="1" fontId="4" fillId="0" borderId="12" applyAlignment="1" pivotButton="0" quotePrefix="0" xfId="20">
      <alignment horizontal="general" vertical="bottom"/>
    </xf>
    <xf numFmtId="0" fontId="23" fillId="3" borderId="14" applyAlignment="1" pivotButton="0" quotePrefix="0" xfId="20">
      <alignment horizontal="general" vertical="bottom"/>
    </xf>
    <xf numFmtId="0" fontId="23" fillId="3" borderId="15" applyAlignment="1" pivotButton="0" quotePrefix="0" xfId="2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/>
    </xf>
    <xf numFmtId="0" fontId="6" fillId="3" borderId="0" applyAlignment="1" pivotButton="0" quotePrefix="0" xfId="20">
      <alignment horizontal="general" vertical="center" wrapText="1"/>
    </xf>
    <xf numFmtId="0" fontId="7" fillId="0" borderId="0" applyAlignment="1" pivotButton="0" quotePrefix="0" xfId="20">
      <alignment horizontal="general" vertical="center"/>
    </xf>
    <xf numFmtId="0" fontId="8" fillId="2" borderId="0" applyAlignment="1" pivotButton="0" quotePrefix="0" xfId="20">
      <alignment horizontal="general" vertical="center"/>
    </xf>
    <xf numFmtId="0" fontId="9" fillId="0" borderId="0" applyAlignment="1" pivotButton="0" quotePrefix="0" xfId="20">
      <alignment horizontal="center" vertical="center"/>
    </xf>
    <xf numFmtId="0" fontId="7" fillId="0" borderId="0" applyAlignment="1" pivotButton="0" quotePrefix="0" xfId="20">
      <alignment horizontal="general" vertical="center" wrapText="1"/>
    </xf>
    <xf numFmtId="0" fontId="10" fillId="4" borderId="0" applyAlignment="1" pivotButton="0" quotePrefix="0" xfId="20">
      <alignment horizontal="general" vertical="center"/>
    </xf>
    <xf numFmtId="0" fontId="11" fillId="5" borderId="0" applyAlignment="1" pivotButton="0" quotePrefix="0" xfId="20">
      <alignment horizontal="general" vertical="center"/>
    </xf>
    <xf numFmtId="0" fontId="12" fillId="2" borderId="0" applyAlignment="1" pivotButton="0" quotePrefix="0" xfId="20">
      <alignment horizontal="general" vertical="center"/>
    </xf>
    <xf numFmtId="0" fontId="13" fillId="3" borderId="0" applyAlignment="1" pivotButton="0" quotePrefix="0" xfId="20">
      <alignment horizontal="general" vertical="center" wrapText="1"/>
    </xf>
    <xf numFmtId="0" fontId="13" fillId="3" borderId="0" applyAlignment="1" pivotButton="0" quotePrefix="0" xfId="20">
      <alignment horizontal="general" vertical="top" wrapText="1"/>
    </xf>
    <xf numFmtId="0" fontId="8" fillId="2" borderId="0" applyAlignment="1" pivotButton="0" quotePrefix="0" xfId="20">
      <alignment horizontal="general" vertical="center"/>
    </xf>
    <xf numFmtId="164" fontId="14" fillId="4" borderId="1" applyAlignment="1" pivotButton="0" quotePrefix="0" xfId="20">
      <alignment horizontal="general" vertical="center"/>
    </xf>
    <xf numFmtId="0" fontId="14" fillId="4" borderId="2" applyAlignment="1" pivotButton="0" quotePrefix="0" xfId="20">
      <alignment horizontal="general" vertical="center"/>
    </xf>
    <xf numFmtId="0" fontId="14" fillId="4" borderId="3" applyAlignment="1" pivotButton="0" quotePrefix="0" xfId="20">
      <alignment horizontal="general" vertical="center"/>
    </xf>
    <xf numFmtId="0" fontId="14" fillId="4" borderId="1" applyAlignment="1" pivotButton="0" quotePrefix="0" xfId="20">
      <alignment horizontal="general" vertical="center"/>
    </xf>
    <xf numFmtId="0" fontId="14" fillId="4" borderId="4" applyAlignment="1" pivotButton="0" quotePrefix="0" xfId="20">
      <alignment horizontal="general" vertical="center"/>
    </xf>
    <xf numFmtId="165" fontId="14" fillId="4" borderId="5" applyAlignment="1" pivotButton="0" quotePrefix="0" xfId="20">
      <alignment horizontal="general" vertical="center"/>
    </xf>
    <xf numFmtId="0" fontId="14" fillId="4" borderId="6" applyAlignment="1" pivotButton="0" quotePrefix="0" xfId="20">
      <alignment horizontal="general" vertical="center"/>
    </xf>
    <xf numFmtId="165" fontId="14" fillId="4" borderId="7" applyAlignment="1" pivotButton="0" quotePrefix="0" xfId="20">
      <alignment horizontal="general" vertical="center"/>
    </xf>
    <xf numFmtId="0" fontId="14" fillId="4" borderId="8" applyAlignment="1" pivotButton="0" quotePrefix="0" xfId="20">
      <alignment horizontal="general" vertical="center"/>
    </xf>
    <xf numFmtId="165" fontId="14" fillId="4" borderId="9" applyAlignment="1" pivotButton="0" quotePrefix="0" xfId="20">
      <alignment horizontal="general" vertical="center"/>
    </xf>
    <xf numFmtId="0" fontId="14" fillId="4" borderId="5" applyAlignment="1" pivotButton="0" quotePrefix="0" xfId="20">
      <alignment horizontal="general" vertical="center"/>
    </xf>
    <xf numFmtId="0" fontId="14" fillId="4" borderId="7" applyAlignment="1" pivotButton="0" quotePrefix="0" xfId="20">
      <alignment horizontal="general" vertical="center"/>
    </xf>
    <xf numFmtId="0" fontId="14" fillId="4" borderId="9" applyAlignment="1" pivotButton="0" quotePrefix="0" xfId="20">
      <alignment horizontal="general" vertical="center"/>
    </xf>
    <xf numFmtId="0" fontId="15" fillId="2" borderId="10" applyAlignment="1" pivotButton="0" quotePrefix="0" xfId="20">
      <alignment horizontal="center" vertical="center" wrapText="1"/>
    </xf>
    <xf numFmtId="164" fontId="14" fillId="4" borderId="11" applyAlignment="1" pivotButton="0" quotePrefix="0" xfId="20">
      <alignment horizontal="general" vertical="center"/>
    </xf>
    <xf numFmtId="0" fontId="14" fillId="4" borderId="11" applyAlignment="1" pivotButton="0" quotePrefix="0" xfId="20">
      <alignment horizontal="general" vertical="center"/>
    </xf>
    <xf numFmtId="166" fontId="14" fillId="4" borderId="11" applyAlignment="1" pivotButton="0" quotePrefix="0" xfId="20">
      <alignment horizontal="general" vertical="center"/>
    </xf>
    <xf numFmtId="166" fontId="14" fillId="4" borderId="5" applyAlignment="1" pivotButton="0" quotePrefix="0" xfId="20">
      <alignment horizontal="general" vertical="center"/>
    </xf>
    <xf numFmtId="166" fontId="7" fillId="5" borderId="1" applyAlignment="1" pivotButton="0" quotePrefix="0" xfId="20">
      <alignment horizontal="general" vertical="center"/>
    </xf>
    <xf numFmtId="166" fontId="14" fillId="4" borderId="4" applyAlignment="1" pivotButton="0" quotePrefix="0" xfId="20">
      <alignment horizontal="general" vertical="center"/>
    </xf>
    <xf numFmtId="165" fontId="7" fillId="5" borderId="4" applyAlignment="1" pivotButton="0" quotePrefix="0" xfId="20">
      <alignment horizontal="general" vertical="center"/>
    </xf>
    <xf numFmtId="166" fontId="7" fillId="5" borderId="5" applyAlignment="1" pivotButton="0" quotePrefix="0" xfId="20">
      <alignment horizontal="general" vertical="center"/>
    </xf>
    <xf numFmtId="166" fontId="7" fillId="5" borderId="4" applyAlignment="1" pivotButton="0" quotePrefix="0" xfId="20">
      <alignment horizontal="general" vertical="center"/>
    </xf>
    <xf numFmtId="166" fontId="7" fillId="5" borderId="11" applyAlignment="1" pivotButton="0" quotePrefix="0" xfId="20">
      <alignment horizontal="general" vertical="center"/>
    </xf>
    <xf numFmtId="165" fontId="7" fillId="5" borderId="11" applyAlignment="1" pivotButton="0" quotePrefix="0" xfId="20">
      <alignment horizontal="general" vertical="center"/>
    </xf>
    <xf numFmtId="0" fontId="7" fillId="5" borderId="5" applyAlignment="1" pivotButton="0" quotePrefix="0" xfId="20">
      <alignment horizontal="general" vertical="center"/>
    </xf>
    <xf numFmtId="164" fontId="14" fillId="4" borderId="12" applyAlignment="1" pivotButton="0" quotePrefix="0" xfId="20">
      <alignment horizontal="general" vertical="center"/>
    </xf>
    <xf numFmtId="0" fontId="14" fillId="4" borderId="12" applyAlignment="1" pivotButton="0" quotePrefix="0" xfId="20">
      <alignment horizontal="general" vertical="center"/>
    </xf>
    <xf numFmtId="166" fontId="14" fillId="4" borderId="12" applyAlignment="1" pivotButton="0" quotePrefix="0" xfId="20">
      <alignment horizontal="general" vertical="center"/>
    </xf>
    <xf numFmtId="166" fontId="14" fillId="4" borderId="7" applyAlignment="1" pivotButton="0" quotePrefix="0" xfId="20">
      <alignment horizontal="general" vertical="center"/>
    </xf>
    <xf numFmtId="166" fontId="7" fillId="5" borderId="2" applyAlignment="1" pivotButton="0" quotePrefix="0" xfId="20">
      <alignment horizontal="general" vertical="center"/>
    </xf>
    <xf numFmtId="166" fontId="14" fillId="4" borderId="6" applyAlignment="1" pivotButton="0" quotePrefix="0" xfId="20">
      <alignment horizontal="general" vertical="center"/>
    </xf>
    <xf numFmtId="165" fontId="7" fillId="5" borderId="6" applyAlignment="1" pivotButton="0" quotePrefix="0" xfId="20">
      <alignment horizontal="general" vertical="center"/>
    </xf>
    <xf numFmtId="166" fontId="7" fillId="5" borderId="7" applyAlignment="1" pivotButton="0" quotePrefix="0" xfId="20">
      <alignment horizontal="general" vertical="center"/>
    </xf>
    <xf numFmtId="166" fontId="7" fillId="5" borderId="6" applyAlignment="1" pivotButton="0" quotePrefix="0" xfId="20">
      <alignment horizontal="general" vertical="center"/>
    </xf>
    <xf numFmtId="166" fontId="7" fillId="5" borderId="12" applyAlignment="1" pivotButton="0" quotePrefix="0" xfId="20">
      <alignment horizontal="general" vertical="center"/>
    </xf>
    <xf numFmtId="165" fontId="7" fillId="5" borderId="12" applyAlignment="1" pivotButton="0" quotePrefix="0" xfId="20">
      <alignment horizontal="general" vertical="center"/>
    </xf>
    <xf numFmtId="0" fontId="7" fillId="5" borderId="7" applyAlignment="1" pivotButton="0" quotePrefix="0" xfId="20">
      <alignment horizontal="general" vertical="center"/>
    </xf>
    <xf numFmtId="0" fontId="7" fillId="5" borderId="4" applyAlignment="1" pivotButton="0" quotePrefix="0" xfId="20">
      <alignment horizontal="general" vertical="center"/>
    </xf>
    <xf numFmtId="0" fontId="7" fillId="5" borderId="11" applyAlignment="1" pivotButton="0" quotePrefix="0" xfId="20">
      <alignment horizontal="general" vertical="center"/>
    </xf>
    <xf numFmtId="0" fontId="7" fillId="5" borderId="6" applyAlignment="1" pivotButton="0" quotePrefix="0" xfId="20">
      <alignment horizontal="general" vertical="center"/>
    </xf>
    <xf numFmtId="0" fontId="7" fillId="5" borderId="12" applyAlignment="1" pivotButton="0" quotePrefix="0" xfId="20">
      <alignment horizontal="general" vertical="center"/>
    </xf>
    <xf numFmtId="0" fontId="7" fillId="5" borderId="8" applyAlignment="1" pivotButton="0" quotePrefix="0" xfId="20">
      <alignment horizontal="general" vertical="center"/>
    </xf>
    <xf numFmtId="0" fontId="7" fillId="5" borderId="13" applyAlignment="1" pivotButton="0" quotePrefix="0" xfId="20">
      <alignment horizontal="general" vertical="center"/>
    </xf>
    <xf numFmtId="166" fontId="7" fillId="5" borderId="13" applyAlignment="1" pivotButton="0" quotePrefix="0" xfId="20">
      <alignment horizontal="general" vertical="center"/>
    </xf>
    <xf numFmtId="166" fontId="7" fillId="5" borderId="9" applyAlignment="1" pivotButton="0" quotePrefix="0" xfId="20">
      <alignment horizontal="general" vertical="center"/>
    </xf>
    <xf numFmtId="0" fontId="16" fillId="3" borderId="12" applyAlignment="1" pivotButton="0" quotePrefix="0" xfId="20">
      <alignment horizontal="center" vertical="center"/>
    </xf>
    <xf numFmtId="0" fontId="0" fillId="0" borderId="6" pivotButton="0" quotePrefix="0" xfId="0"/>
    <xf numFmtId="166" fontId="17" fillId="6" borderId="12" applyAlignment="1" pivotButton="0" quotePrefix="0" xfId="20">
      <alignment horizontal="center" vertical="center"/>
    </xf>
    <xf numFmtId="0" fontId="0" fillId="0" borderId="8" pivotButton="0" quotePrefix="0" xfId="0"/>
    <xf numFmtId="165" fontId="17" fillId="6" borderId="12" applyAlignment="1" pivotButton="0" quotePrefix="0" xfId="2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166" fontId="7" fillId="0" borderId="0" applyAlignment="1" pivotButton="0" quotePrefix="0" xfId="20">
      <alignment horizontal="general" vertical="center"/>
    </xf>
    <xf numFmtId="0" fontId="21" fillId="3" borderId="12" applyAlignment="1" pivotButton="0" quotePrefix="0" xfId="20">
      <alignment horizontal="general" vertical="bottom" wrapText="1"/>
    </xf>
    <xf numFmtId="166" fontId="4" fillId="0" borderId="12" applyAlignment="1" pivotButton="0" quotePrefix="0" xfId="20">
      <alignment horizontal="general" vertical="bottom"/>
    </xf>
    <xf numFmtId="0" fontId="4" fillId="0" borderId="12" applyAlignment="1" pivotButton="0" quotePrefix="0" xfId="20">
      <alignment horizontal="center" vertical="bottom"/>
    </xf>
    <xf numFmtId="0" fontId="22" fillId="0" borderId="12" applyAlignment="1" pivotButton="0" quotePrefix="0" xfId="20">
      <alignment horizontal="general" vertical="bottom" wrapText="1"/>
    </xf>
    <xf numFmtId="1" fontId="4" fillId="0" borderId="12" applyAlignment="1" pivotButton="0" quotePrefix="0" xfId="20">
      <alignment horizontal="general" vertical="bottom"/>
    </xf>
    <xf numFmtId="0" fontId="23" fillId="3" borderId="14" applyAlignment="1" pivotButton="0" quotePrefix="0" xfId="20">
      <alignment horizontal="general" vertical="bottom"/>
    </xf>
    <xf numFmtId="0" fontId="0" fillId="0" borderId="19" pivotButton="0" quotePrefix="0" xfId="0"/>
    <xf numFmtId="0" fontId="23" fillId="3" borderId="15" applyAlignment="1" pivotButton="0" quotePrefix="0" xfId="20">
      <alignment horizontal="center" vertical="bottom"/>
    </xf>
    <xf numFmtId="0" fontId="0" fillId="0" borderId="15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1F6B3A"/>
      </font>
      <fill>
        <patternFill>
          <bgColor rgb="FFE3F3E8"/>
        </patternFill>
      </fill>
    </dxf>
    <dxf>
      <font>
        <b val="1"/>
        <color rgb="FFA33A2B"/>
      </font>
      <fill>
        <patternFill>
          <bgColor rgb="FFFCE8E6"/>
        </patternFill>
      </fill>
    </dxf>
    <dxf>
      <font>
        <b val="1"/>
        <color rgb="FF1F6B3A"/>
      </font>
      <fill>
        <patternFill>
          <bgColor rgb="FFE3F3E8"/>
        </patternFill>
      </fill>
    </dxf>
    <dxf>
      <font>
        <b val="1"/>
        <color rgb="FFA33A2B"/>
      </font>
      <fill>
        <patternFill>
          <bgColor rgb="FFFCE8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808000"/>
      <rgbColor rgb="FF800080"/>
      <rgbColor rgb="FF156082"/>
      <rgbColor rgb="FFCCCCCC"/>
      <rgbColor rgb="FF8B8B8B"/>
      <rgbColor rgb="FF9999FF"/>
      <rgbColor rgb="FFB85C38"/>
      <rgbColor rgb="FFFFF4C7"/>
      <rgbColor rgb="FFE3F3E8"/>
      <rgbColor rgb="FF660066"/>
      <rgbColor rgb="FFFF8080"/>
      <rgbColor rgb="FF0066CC"/>
      <rgbColor rgb="FFD6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6"/>
      <rgbColor rgb="FFF7F9FC"/>
      <rgbColor rgb="FFFCE8E6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3758A"/>
      <rgbColor rgb="FF969696"/>
      <rgbColor rgb="FF003366"/>
      <rgbColor rgb="FF339966"/>
      <rgbColor rgb="FF003300"/>
      <rgbColor rgb="FF333300"/>
      <rgbColor rgb="FFA33A2B"/>
      <rgbColor rgb="FF993366"/>
      <rgbColor rgb="FF40566E"/>
      <rgbColor rgb="FF17202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Resultado calculado por canal (€)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"Resultado calculado"</f>
              <strCache>
                <ptCount val="1"/>
                <pt idx="0">
                  <v>Resultado calculado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RESUMEN!$B$11:$B$14</f>
              <strCache>
                <ptCount val="4"/>
                <pt idx="0">
                  <v>Marketplace A</v>
                </pt>
                <pt idx="1">
                  <v>Marketplace B</v>
                </pt>
                <pt idx="2">
                  <v>Tienda social</v>
                </pt>
                <pt idx="3">
                  <v>Venta directa</v>
                </pt>
              </strCache>
            </strRef>
          </cat>
          <val>
            <numRef>
              <f>RESUMEN!$C$11:$C$14</f>
              <numCache>
                <formatCode>#,##0.00" €";[RED]\(#,##0.00" €)";\-</formatCode>
                <ptCount val="4"/>
                <pt idx="0">
                  <v>39.44</v>
                </pt>
                <pt idx="1">
                  <v>0</v>
                </pt>
                <pt idx="2">
                  <v>0</v>
                </pt>
                <pt idx="3">
                  <v>38</v>
                </pt>
              </numCache>
            </numRef>
          </val>
        </ser>
        <gapWidth val="150"/>
        <overlap val="0"/>
        <axId val="86905738"/>
        <axId val="10730345"/>
      </barChart>
      <catAx>
        <axId val="86905738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CCCCCC"/>
              </a:solidFill>
              <a:prstDash val="dash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1260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r>
              <a:t/>
            </a:r>
          </a:p>
        </txPr>
        <crossAx val="10730345"/>
        <crosses val="autoZero"/>
        <auto val="1"/>
        <lblAlgn val="ctr"/>
        <lblOffset val="100"/>
        <noMultiLvlLbl val="0"/>
      </catAx>
      <valAx>
        <axId val="1073034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CCCCCC"/>
              </a:solidFill>
              <a:prstDash val="dash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Resultado calculado (€)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.00&quot; €&quot;" sourceLinked="0"/>
        <majorTickMark val="none"/>
        <minorTickMark val="none"/>
        <tickLblPos val="nextTo"/>
        <spPr>
          <a:ln xmlns:a="http://schemas.openxmlformats.org/drawingml/2006/main" w="1260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r>
              <a:t/>
            </a:r>
          </a:p>
        </txPr>
        <crossAx val="8690573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9</row>
      <rowOff>0</rowOff>
    </from>
    <to>
      <col>11</col>
      <colOff>210960</colOff>
      <row>27</row>
      <rowOff>190080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nimblysheets.com/es/plantillas/control-inventario-ventas-reventa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78" min="1" max="1"/>
    <col width="20" customWidth="1" style="78" min="2" max="2"/>
    <col width="72" customWidth="1" style="78" min="3" max="3"/>
    <col width="3" customWidth="1" style="78" min="4" max="4"/>
    <col width="16" customWidth="1" style="78" min="5" max="7"/>
    <col width="3" customWidth="1" style="78" min="8" max="8"/>
  </cols>
  <sheetData>
    <row r="1" ht="33.75" customHeight="1" s="79">
      <c r="A1" s="80" t="inlineStr">
        <is>
          <t>CONTROL DE INVENTARIO Y REVENTA — EDICIÓN GRATUITA</t>
        </is>
      </c>
    </row>
    <row r="2" ht="25.5" customHeight="1" s="79">
      <c r="A2" s="81" t="inlineStr">
        <is>
          <t>Registra hasta 50 SKU, ventas, comisiones, envíos y resultados calculados con tus propios datos</t>
        </is>
      </c>
    </row>
    <row r="3" ht="15" customHeight="1" s="79">
      <c r="A3" s="82" t="n"/>
      <c r="B3" s="82" t="n"/>
      <c r="C3" s="82" t="n"/>
      <c r="D3" s="82" t="n"/>
      <c r="E3" s="82" t="n"/>
      <c r="F3" s="82" t="n"/>
      <c r="G3" s="82" t="n"/>
      <c r="H3" s="82" t="n"/>
    </row>
    <row r="4" ht="15" customHeight="1" s="79">
      <c r="A4" s="82" t="n"/>
      <c r="B4" s="82" t="n"/>
      <c r="C4" s="82" t="n"/>
      <c r="D4" s="82" t="n"/>
      <c r="E4" s="82" t="n"/>
      <c r="F4" s="82" t="n"/>
      <c r="G4" s="82" t="n"/>
      <c r="H4" s="82" t="n"/>
    </row>
    <row r="5" ht="24" customHeight="1" s="79">
      <c r="A5" s="82" t="n"/>
      <c r="B5" s="83" t="inlineStr">
        <is>
          <t>INICIO RÁPIDO</t>
        </is>
      </c>
    </row>
    <row r="6" ht="27.75" customHeight="1" s="79">
      <c r="A6" s="82" t="n"/>
      <c r="B6" s="84" t="inlineStr">
        <is>
          <t>1.</t>
        </is>
      </c>
      <c r="C6" s="85" t="inlineStr">
        <is>
          <t>Configura la fecha de control, los canales, las comisiones introducidas y el aviso de antigüedad en CONFIG.</t>
        </is>
      </c>
      <c r="D6" s="82" t="n"/>
      <c r="E6" s="82" t="n"/>
      <c r="F6" s="82" t="n"/>
      <c r="G6" s="82" t="n"/>
      <c r="H6" s="82" t="n"/>
    </row>
    <row r="7" ht="27.75" customHeight="1" s="79">
      <c r="A7" s="82" t="n"/>
      <c r="B7" s="84" t="inlineStr">
        <is>
          <t>2.</t>
        </is>
      </c>
      <c r="C7" s="85" t="inlineStr">
        <is>
          <t>Sustituye las tres filas de ejemplo por tus propios artículos. Esta edición incluye 50 filas de SKU.</t>
        </is>
      </c>
      <c r="D7" s="82" t="n"/>
      <c r="E7" s="82" t="n"/>
      <c r="F7" s="82" t="n"/>
      <c r="G7" s="82" t="n"/>
      <c r="H7" s="82" t="n"/>
    </row>
    <row r="8" ht="27.75" customHeight="1" s="79">
      <c r="A8" s="82" t="n"/>
      <c r="B8" s="84" t="inlineStr">
        <is>
          <t>3.</t>
        </is>
      </c>
      <c r="C8" s="85" t="inlineStr">
        <is>
          <t>Actualiza el estado y los campos de venta cuando se complete una operación.</t>
        </is>
      </c>
      <c r="D8" s="82" t="n"/>
      <c r="E8" s="82" t="n"/>
      <c r="F8" s="82" t="n"/>
      <c r="G8" s="82" t="n"/>
      <c r="H8" s="82" t="n"/>
    </row>
    <row r="9" ht="27.75" customHeight="1" s="79">
      <c r="A9" s="82" t="n"/>
      <c r="B9" s="84" t="inlineStr">
        <is>
          <t>4.</t>
        </is>
      </c>
      <c r="C9" s="85" t="inlineStr">
        <is>
          <t>Revisa el resultado calculado por canal y la antigüedad en RESUMEN.</t>
        </is>
      </c>
      <c r="D9" s="82" t="n"/>
      <c r="E9" s="82" t="n"/>
      <c r="F9" s="82" t="n"/>
      <c r="G9" s="82" t="n"/>
      <c r="H9" s="82" t="n"/>
    </row>
    <row r="10" ht="15" customHeight="1" s="79">
      <c r="A10" s="82" t="n"/>
      <c r="B10" s="82" t="n"/>
      <c r="C10" s="82" t="n"/>
      <c r="D10" s="82" t="n"/>
      <c r="E10" s="82" t="n"/>
      <c r="F10" s="82" t="n"/>
      <c r="G10" s="82" t="n"/>
      <c r="H10" s="82" t="n"/>
    </row>
    <row r="11" ht="15" customHeight="1" s="79">
      <c r="A11" s="82" t="n"/>
      <c r="B11" s="82" t="n"/>
      <c r="C11" s="82" t="n"/>
      <c r="D11" s="82" t="n"/>
      <c r="E11" s="82" t="n"/>
      <c r="F11" s="82" t="n"/>
      <c r="G11" s="82" t="n"/>
      <c r="H11" s="82" t="n"/>
    </row>
    <row r="12" ht="24" customHeight="1" s="79">
      <c r="A12" s="82" t="n"/>
      <c r="B12" s="83" t="inlineStr">
        <is>
          <t>LEYENDA DE COLOR</t>
        </is>
      </c>
    </row>
    <row r="13" ht="15" customHeight="1" s="79">
      <c r="A13" s="82" t="n"/>
      <c r="B13" s="86" t="inlineStr">
        <is>
          <t>Celdas amarillas</t>
        </is>
      </c>
      <c r="C13" s="85" t="inlineStr">
        <is>
          <t>Datos editables de stock y venta.</t>
        </is>
      </c>
      <c r="D13" s="82" t="n"/>
      <c r="E13" s="82" t="n"/>
      <c r="F13" s="82" t="n"/>
      <c r="G13" s="82" t="n"/>
      <c r="H13" s="82" t="n"/>
    </row>
    <row r="14" ht="15" customHeight="1" s="79">
      <c r="A14" s="82" t="n"/>
      <c r="B14" s="87" t="inlineStr">
        <is>
          <t>Celdas azul gris</t>
        </is>
      </c>
      <c r="C14" s="85" t="inlineStr">
        <is>
          <t>Cálculos automáticos de costes, comisiones y resultado.</t>
        </is>
      </c>
      <c r="D14" s="82" t="n"/>
      <c r="E14" s="82" t="n"/>
      <c r="F14" s="82" t="n"/>
      <c r="G14" s="82" t="n"/>
      <c r="H14" s="82" t="n"/>
    </row>
    <row r="15" ht="15" customHeight="1" s="79">
      <c r="A15" s="82" t="n"/>
      <c r="B15" s="88" t="inlineStr">
        <is>
          <t>Encabezados terracota</t>
        </is>
      </c>
      <c r="C15" s="85" t="inlineStr">
        <is>
          <t>Etiquetas de tablas y secciones.</t>
        </is>
      </c>
      <c r="D15" s="82" t="n"/>
      <c r="E15" s="82" t="n"/>
      <c r="F15" s="82" t="n"/>
      <c r="G15" s="82" t="n"/>
      <c r="H15" s="82" t="n"/>
    </row>
    <row r="16" ht="15" customHeight="1" s="79">
      <c r="A16" s="82" t="n"/>
      <c r="B16" s="82" t="n"/>
      <c r="C16" s="82" t="n"/>
      <c r="D16" s="82" t="n"/>
      <c r="E16" s="82" t="n"/>
      <c r="F16" s="82" t="n"/>
      <c r="G16" s="82" t="n"/>
      <c r="H16" s="82" t="n"/>
    </row>
    <row r="17" ht="24" customHeight="1" s="79">
      <c r="A17" s="82" t="n"/>
      <c r="B17" s="83" t="inlineStr">
        <is>
          <t>MAPA DEL ARCHIVO</t>
        </is>
      </c>
    </row>
    <row r="18" ht="25.5" customHeight="1" s="79">
      <c r="A18" s="82" t="n"/>
      <c r="B18" s="87" t="inlineStr">
        <is>
          <t>CONFIG</t>
        </is>
      </c>
      <c r="C18" s="85" t="inlineStr">
        <is>
          <t>Fecha de control, categorías, canales y supuestos de comisión.</t>
        </is>
      </c>
      <c r="D18" s="82" t="n"/>
      <c r="E18" s="82" t="n"/>
      <c r="F18" s="82" t="n"/>
      <c r="G18" s="82" t="n"/>
      <c r="H18" s="82" t="n"/>
    </row>
    <row r="19" ht="25.5" customHeight="1" s="79">
      <c r="A19" s="82" t="n"/>
      <c r="B19" s="87" t="inlineStr">
        <is>
          <t>INVENTARIO</t>
        </is>
      </c>
      <c r="C19" s="85" t="inlineStr">
        <is>
          <t>Una fila por SKU; el coste de preparación y el precio de venta son totales de la línea, no importes por unidad.</t>
        </is>
      </c>
      <c r="D19" s="82" t="n"/>
      <c r="E19" s="82" t="n"/>
      <c r="F19" s="82" t="n"/>
      <c r="G19" s="82" t="n"/>
      <c r="H19" s="82" t="n"/>
    </row>
    <row r="20" ht="25.5" customHeight="1" s="79">
      <c r="A20" s="82" t="n"/>
      <c r="B20" s="87" t="inlineStr">
        <is>
          <t>CANALES</t>
        </is>
      </c>
      <c r="C20" s="85" t="inlineStr">
        <is>
          <t>Importes de venta, comisiones y resultado calculado por canal.</t>
        </is>
      </c>
      <c r="D20" s="82" t="n"/>
      <c r="E20" s="82" t="n"/>
      <c r="F20" s="82" t="n"/>
      <c r="G20" s="82" t="n"/>
      <c r="H20" s="82" t="n"/>
    </row>
    <row r="21" ht="25.5" customHeight="1" s="79">
      <c r="A21" s="82" t="n"/>
      <c r="B21" s="87" t="inlineStr">
        <is>
          <t>RESUMEN</t>
        </is>
      </c>
      <c r="C21" s="85" t="inlineStr">
        <is>
          <t>Coste del stock, rotación, resultado calculado y antigüedad.</t>
        </is>
      </c>
      <c r="D21" s="82" t="n"/>
      <c r="E21" s="82" t="n"/>
      <c r="F21" s="82" t="n"/>
      <c r="G21" s="82" t="n"/>
      <c r="H21" s="82" t="n"/>
    </row>
    <row r="22" ht="25.5" customHeight="1" s="79">
      <c r="A22" s="82" t="n"/>
      <c r="B22" s="87" t="inlineStr">
        <is>
          <t>CONTROLES</t>
        </is>
      </c>
      <c r="C22" s="85" t="inlineStr">
        <is>
          <t>Cuadres de coste, ventas y resultado calculado.</t>
        </is>
      </c>
      <c r="D22" s="82" t="n"/>
      <c r="E22" s="82" t="n"/>
      <c r="F22" s="82" t="n"/>
      <c r="G22" s="82" t="n"/>
      <c r="H22" s="82" t="n"/>
    </row>
    <row r="23" ht="15" customHeight="1" s="79">
      <c r="A23" s="82" t="n"/>
      <c r="B23" s="82" t="n"/>
      <c r="C23" s="82" t="n"/>
      <c r="D23" s="82" t="n"/>
      <c r="E23" s="82" t="n"/>
      <c r="F23" s="82" t="n"/>
      <c r="G23" s="82" t="n"/>
      <c r="H23" s="82" t="n"/>
    </row>
    <row r="24" ht="15" customHeight="1" s="79">
      <c r="A24" s="82" t="n"/>
      <c r="B24" s="82" t="n"/>
      <c r="C24" s="82" t="n"/>
      <c r="D24" s="82" t="n"/>
      <c r="E24" s="82" t="n"/>
      <c r="F24" s="82" t="n"/>
      <c r="G24" s="82" t="n"/>
      <c r="H24" s="82" t="n"/>
    </row>
    <row r="25" ht="15" customHeight="1" s="79">
      <c r="A25" s="82" t="n"/>
      <c r="B25" s="83" t="inlineStr">
        <is>
          <t>EDICIÓN GRATUITA</t>
        </is>
      </c>
    </row>
    <row r="26" ht="34" customHeight="1" s="79">
      <c r="A26" s="82" t="n"/>
      <c r="B26" s="89" t="inlineStr">
        <is>
          <t>Incluye 50 SKU. La versión completa amplía la capacidad a 200 SKU y conserva el mismo flujo de registro.</t>
        </is>
      </c>
    </row>
    <row r="27" ht="24" customHeight="1" s="79">
      <c r="A27" s="82" t="n"/>
      <c r="B27" s="83" t="inlineStr">
        <is>
          <t>IMPORTANTE</t>
        </is>
      </c>
    </row>
    <row r="28" ht="15" customHeight="1" s="79">
      <c r="A28" s="82" t="n"/>
      <c r="B28" s="90" t="inlineStr">
        <is>
          <t>Herramienta general de registro y planificación basada en datos introducidos por el usuario. Las comisiones son supuestos editables. No constituye asesoramiento fiscal, jurídico, contable, financiero, comercial ni profesional; no determina obligaciones, deducibilidad, cumplimiento, resultado o decisiones de venta. Verifica por separado las reglas y tarifas vigentes de cada plataforma.</t>
        </is>
      </c>
    </row>
    <row r="29" ht="15" customHeight="1" s="79">
      <c r="A29" s="82" t="n"/>
    </row>
    <row r="30" ht="15" customHeight="1" s="79">
      <c r="A30" s="82" t="n"/>
    </row>
    <row r="31" ht="15" customHeight="1" s="79">
      <c r="A31" s="82" t="n"/>
    </row>
    <row r="32" ht="15" customHeight="1" s="79">
      <c r="A32" s="82" t="n"/>
    </row>
    <row r="33" ht="15" customHeight="1" s="79">
      <c r="A33" s="82" t="n"/>
      <c r="B33" s="82" t="n"/>
      <c r="C33" s="82" t="n"/>
      <c r="D33" s="82" t="n"/>
      <c r="E33" s="82" t="n"/>
      <c r="F33" s="82" t="n"/>
      <c r="G33" s="82" t="n"/>
      <c r="H33" s="82" t="n"/>
    </row>
    <row r="34" ht="24" customHeight="1" s="79">
      <c r="A34" s="82" t="n"/>
      <c r="B34" s="91" t="inlineStr">
        <is>
          <t>Ver la versión completa para 200 SKU</t>
        </is>
      </c>
    </row>
    <row r="35" ht="15" customHeight="1" s="79">
      <c r="A35" s="82" t="n"/>
      <c r="B35" s="82" t="n"/>
      <c r="C35" s="82" t="n"/>
      <c r="D35" s="82" t="n"/>
      <c r="E35" s="82" t="n"/>
      <c r="F35" s="82" t="n"/>
      <c r="G35" s="82" t="n"/>
      <c r="H35" s="82" t="n"/>
    </row>
    <row r="36" ht="15" customHeight="1" s="79">
      <c r="A36" s="82" t="n"/>
      <c r="B36" s="82" t="n"/>
      <c r="C36" s="82" t="n"/>
      <c r="D36" s="82" t="n"/>
      <c r="E36" s="82" t="n"/>
      <c r="F36" s="82" t="n"/>
      <c r="G36" s="82" t="n"/>
      <c r="H36" s="82" t="n"/>
    </row>
  </sheetData>
  <mergeCells count="10">
    <mergeCell ref="B17:H17"/>
    <mergeCell ref="B27:H27"/>
    <mergeCell ref="B26:H26"/>
    <mergeCell ref="B5:H5"/>
    <mergeCell ref="A2:H2"/>
    <mergeCell ref="B12:H12"/>
    <mergeCell ref="B25:H25"/>
    <mergeCell ref="A1:H1"/>
    <mergeCell ref="B28:H32"/>
    <mergeCell ref="B34:H34"/>
  </mergeCells>
  <hyperlinks>
    <hyperlink xmlns:r="http://schemas.openxmlformats.org/officeDocument/2006/relationships" ref="B34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F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78" min="1" max="1"/>
    <col width="30" customWidth="1" style="78" min="2" max="2"/>
    <col width="20" customWidth="1" style="78" min="3" max="3"/>
    <col width="4" customWidth="1" style="78" min="4" max="4"/>
    <col width="28" customWidth="1" style="78" min="5" max="5"/>
    <col width="18" customWidth="1" style="78" min="6" max="6"/>
  </cols>
  <sheetData>
    <row r="1" ht="33.75" customHeight="1" s="79">
      <c r="A1" s="80" t="inlineStr">
        <is>
          <t>CONFIG</t>
        </is>
      </c>
    </row>
    <row r="2" ht="25.5" customHeight="1" s="79">
      <c r="A2" s="81" t="inlineStr">
        <is>
          <t>Usa nombres de canal genéricos o sustitúyelos por las plataformas que quieras registrar.</t>
        </is>
      </c>
    </row>
    <row r="3" ht="15" customHeight="1" s="79">
      <c r="A3" s="82" t="n"/>
      <c r="B3" s="82" t="n"/>
      <c r="C3" s="82" t="n"/>
      <c r="D3" s="82" t="n"/>
      <c r="E3" s="82" t="n"/>
      <c r="F3" s="82" t="n"/>
    </row>
    <row r="4" ht="15" customHeight="1" s="79">
      <c r="A4" s="82" t="n"/>
      <c r="B4" s="82" t="n"/>
      <c r="C4" s="82" t="n"/>
      <c r="D4" s="82" t="n"/>
      <c r="E4" s="82" t="n"/>
      <c r="F4" s="82" t="n"/>
    </row>
    <row r="5" ht="24" customHeight="1" s="79">
      <c r="A5" s="82" t="n"/>
      <c r="B5" s="83" t="inlineStr">
        <is>
          <t>GENERAL</t>
        </is>
      </c>
      <c r="D5" s="82" t="n"/>
      <c r="E5" s="82" t="n"/>
      <c r="F5" s="82" t="n"/>
    </row>
    <row r="6" ht="15" customHeight="1" s="79">
      <c r="A6" s="82" t="n"/>
      <c r="B6" s="82" t="inlineStr">
        <is>
          <t>Fecha de control</t>
        </is>
      </c>
      <c r="C6" s="92" t="n">
        <v>46252</v>
      </c>
      <c r="D6" s="82" t="n"/>
      <c r="E6" s="82" t="n"/>
      <c r="F6" s="82" t="n"/>
    </row>
    <row r="7" ht="15" customHeight="1" s="79">
      <c r="A7" s="82" t="n"/>
      <c r="B7" s="82" t="inlineStr">
        <is>
          <t>Moneda</t>
        </is>
      </c>
      <c r="C7" s="93" t="inlineStr">
        <is>
          <t>EUR (€)</t>
        </is>
      </c>
      <c r="D7" s="82" t="n"/>
      <c r="E7" s="82" t="n"/>
      <c r="F7" s="82" t="n"/>
    </row>
    <row r="8" ht="15" customHeight="1" s="79">
      <c r="A8" s="82" t="n"/>
      <c r="B8" s="82" t="inlineStr">
        <is>
          <t>Aviso de antigüedad (días)</t>
        </is>
      </c>
      <c r="C8" s="94" t="n">
        <v>90</v>
      </c>
      <c r="D8" s="82" t="n"/>
      <c r="E8" s="82" t="n"/>
      <c r="F8" s="82" t="n"/>
    </row>
    <row r="9" ht="15" customHeight="1" s="79">
      <c r="A9" s="82" t="n"/>
      <c r="B9" s="82" t="n"/>
      <c r="C9" s="82" t="n"/>
      <c r="D9" s="82" t="n"/>
      <c r="E9" s="82" t="n"/>
      <c r="F9" s="82" t="n"/>
    </row>
    <row r="10" ht="15" customHeight="1" s="79">
      <c r="A10" s="82" t="n"/>
      <c r="B10" s="82" t="n"/>
      <c r="C10" s="82" t="n"/>
      <c r="D10" s="82" t="n"/>
      <c r="E10" s="82" t="n"/>
      <c r="F10" s="82" t="n"/>
    </row>
    <row r="11" ht="24" customHeight="1" s="79">
      <c r="A11" s="82" t="n"/>
      <c r="B11" s="83" t="inlineStr">
        <is>
          <t>CATEGORÍAS</t>
        </is>
      </c>
      <c r="D11" s="82" t="n"/>
      <c r="E11" s="83" t="inlineStr">
        <is>
          <t>SUPUESTOS DE COMISIÓN POR CANAL</t>
        </is>
      </c>
    </row>
    <row r="12" ht="15" customHeight="1" s="79">
      <c r="A12" s="82" t="n"/>
      <c r="B12" s="95" t="inlineStr">
        <is>
          <t>Ropa</t>
        </is>
      </c>
      <c r="C12" s="82" t="n"/>
      <c r="D12" s="82" t="n"/>
      <c r="E12" s="96" t="inlineStr">
        <is>
          <t>Marketplace A</t>
        </is>
      </c>
      <c r="F12" s="97" t="n">
        <v>0.12</v>
      </c>
    </row>
    <row r="13" ht="15" customHeight="1" s="79">
      <c r="A13" s="82" t="n"/>
      <c r="B13" s="93" t="inlineStr">
        <is>
          <t>Calzado</t>
        </is>
      </c>
      <c r="C13" s="82" t="n"/>
      <c r="D13" s="82" t="n"/>
      <c r="E13" s="98" t="inlineStr">
        <is>
          <t>Marketplace B</t>
        </is>
      </c>
      <c r="F13" s="99" t="n">
        <v>0.1</v>
      </c>
    </row>
    <row r="14" ht="15" customHeight="1" s="79">
      <c r="A14" s="82" t="n"/>
      <c r="B14" s="93" t="inlineStr">
        <is>
          <t>Accesorios</t>
        </is>
      </c>
      <c r="C14" s="82" t="n"/>
      <c r="D14" s="82" t="n"/>
      <c r="E14" s="98" t="inlineStr">
        <is>
          <t>Tienda social</t>
        </is>
      </c>
      <c r="F14" s="99" t="n">
        <v>0.08</v>
      </c>
    </row>
    <row r="15" ht="15" customHeight="1" s="79">
      <c r="A15" s="82" t="n"/>
      <c r="B15" s="93" t="inlineStr">
        <is>
          <t>Hogar</t>
        </is>
      </c>
      <c r="C15" s="82" t="n"/>
      <c r="D15" s="82" t="n"/>
      <c r="E15" s="100" t="inlineStr">
        <is>
          <t>Venta directa</t>
        </is>
      </c>
      <c r="F15" s="101" t="n">
        <v>0</v>
      </c>
    </row>
    <row r="16" ht="15" customHeight="1" s="79">
      <c r="A16" s="82" t="n"/>
      <c r="B16" s="93" t="inlineStr">
        <is>
          <t>Electrónica</t>
        </is>
      </c>
      <c r="C16" s="82" t="n"/>
      <c r="D16" s="82" t="n"/>
      <c r="E16" s="82" t="n"/>
      <c r="F16" s="82" t="n"/>
    </row>
    <row r="17" ht="15" customHeight="1" s="79">
      <c r="A17" s="82" t="n"/>
      <c r="B17" s="93" t="inlineStr">
        <is>
          <t>Coleccionismo</t>
        </is>
      </c>
      <c r="C17" s="82" t="n"/>
      <c r="D17" s="82" t="n"/>
      <c r="E17" s="82" t="n"/>
      <c r="F17" s="82" t="n"/>
    </row>
    <row r="18" ht="15" customHeight="1" s="79">
      <c r="A18" s="82" t="n"/>
      <c r="B18" s="93" t="inlineStr">
        <is>
          <t>Libros y multimedia</t>
        </is>
      </c>
      <c r="C18" s="82" t="n"/>
      <c r="D18" s="82" t="n"/>
      <c r="E18" s="96" t="inlineStr">
        <is>
          <t>Estado</t>
        </is>
      </c>
      <c r="F18" s="102" t="inlineStr">
        <is>
          <t>Activo</t>
        </is>
      </c>
    </row>
    <row r="19" ht="15" customHeight="1" s="79">
      <c r="A19" s="82" t="n"/>
      <c r="B19" s="94" t="inlineStr">
        <is>
          <t>Otros</t>
        </is>
      </c>
      <c r="C19" s="82" t="n"/>
      <c r="D19" s="82" t="n"/>
      <c r="E19" s="98" t="inlineStr">
        <is>
          <t>Estado</t>
        </is>
      </c>
      <c r="F19" s="103" t="inlineStr">
        <is>
          <t>Vendido</t>
        </is>
      </c>
    </row>
    <row r="20" ht="15" customHeight="1" s="79">
      <c r="A20" s="82" t="n"/>
      <c r="B20" s="82" t="n"/>
      <c r="C20" s="82" t="n"/>
      <c r="D20" s="82" t="n"/>
      <c r="E20" s="98" t="inlineStr">
        <is>
          <t>Estado</t>
        </is>
      </c>
      <c r="F20" s="103" t="inlineStr">
        <is>
          <t>Devuelto</t>
        </is>
      </c>
    </row>
    <row r="21" ht="15" customHeight="1" s="79">
      <c r="A21" s="82" t="n"/>
      <c r="B21" s="82" t="n"/>
      <c r="C21" s="82" t="n"/>
      <c r="D21" s="82" t="n"/>
      <c r="E21" s="100" t="inlineStr">
        <is>
          <t>Estado</t>
        </is>
      </c>
      <c r="F21" s="104" t="inlineStr">
        <is>
          <t>Donado</t>
        </is>
      </c>
    </row>
    <row r="22" ht="15" customHeight="1" s="79">
      <c r="A22" s="82" t="n"/>
      <c r="B22" s="82" t="n"/>
      <c r="C22" s="82" t="n"/>
      <c r="D22" s="82" t="n"/>
      <c r="E22" s="82" t="n"/>
      <c r="F22" s="82" t="n"/>
    </row>
    <row r="23" ht="15" customHeight="1" s="79">
      <c r="A23" s="82" t="n"/>
      <c r="B23" s="82" t="n"/>
      <c r="C23" s="82" t="n"/>
      <c r="D23" s="82" t="n"/>
      <c r="E23" s="82" t="n"/>
      <c r="F23" s="82" t="n"/>
    </row>
    <row r="24" ht="15" customHeight="1" s="79">
      <c r="A24" s="82" t="n"/>
      <c r="B24" s="82" t="n"/>
      <c r="C24" s="82" t="n"/>
      <c r="D24" s="82" t="n"/>
      <c r="E24" s="82" t="n"/>
      <c r="F24" s="82" t="n"/>
    </row>
    <row r="25" ht="15" customHeight="1" s="79">
      <c r="A25" s="82" t="n"/>
      <c r="B25" s="82" t="n"/>
      <c r="C25" s="82" t="n"/>
      <c r="D25" s="82" t="n"/>
      <c r="E25" s="82" t="n"/>
      <c r="F25" s="82" t="n"/>
    </row>
    <row r="26" ht="15" customHeight="1" s="79">
      <c r="A26" s="82" t="n"/>
      <c r="B26" s="82" t="n"/>
      <c r="C26" s="82" t="n"/>
      <c r="D26" s="82" t="n"/>
      <c r="E26" s="82" t="n"/>
      <c r="F26" s="82" t="n"/>
    </row>
    <row r="27" ht="15" customHeight="1" s="79">
      <c r="A27" s="82" t="n"/>
      <c r="B27" s="82" t="n"/>
      <c r="C27" s="82" t="n"/>
      <c r="D27" s="82" t="n"/>
      <c r="E27" s="82" t="n"/>
      <c r="F27" s="82" t="n"/>
    </row>
    <row r="28" ht="15" customHeight="1" s="79">
      <c r="A28" s="82" t="n"/>
      <c r="B28" s="82" t="n"/>
      <c r="C28" s="82" t="n"/>
      <c r="D28" s="82" t="n"/>
      <c r="E28" s="82" t="n"/>
      <c r="F28" s="82" t="n"/>
    </row>
    <row r="29" ht="15" customHeight="1" s="79">
      <c r="A29" s="82" t="n"/>
      <c r="B29" s="82" t="n"/>
      <c r="C29" s="82" t="n"/>
      <c r="D29" s="82" t="n"/>
      <c r="E29" s="82" t="n"/>
      <c r="F29" s="82" t="n"/>
    </row>
    <row r="30" ht="15" customHeight="1" s="79">
      <c r="A30" s="82" t="n"/>
      <c r="B30" s="82" t="n"/>
      <c r="C30" s="82" t="n"/>
      <c r="D30" s="82" t="n"/>
      <c r="E30" s="82" t="n"/>
      <c r="F30" s="82" t="n"/>
    </row>
    <row r="31" ht="15" customHeight="1" s="79">
      <c r="A31" s="82" t="n"/>
      <c r="B31" s="82" t="n"/>
      <c r="C31" s="82" t="n"/>
      <c r="D31" s="82" t="n"/>
      <c r="E31" s="82" t="n"/>
      <c r="F31" s="82" t="n"/>
    </row>
    <row r="32" ht="15" customHeight="1" s="79">
      <c r="A32" s="82" t="n"/>
      <c r="B32" s="82" t="n"/>
      <c r="C32" s="82" t="n"/>
      <c r="D32" s="82" t="n"/>
      <c r="E32" s="82" t="n"/>
      <c r="F32" s="82" t="n"/>
    </row>
    <row r="33" ht="15" customHeight="1" s="79">
      <c r="A33" s="82" t="n"/>
      <c r="B33" s="82" t="n"/>
      <c r="C33" s="82" t="n"/>
      <c r="D33" s="82" t="n"/>
      <c r="E33" s="82" t="n"/>
      <c r="F33" s="82" t="n"/>
    </row>
    <row r="34" ht="15" customHeight="1" s="79">
      <c r="A34" s="82" t="n"/>
      <c r="B34" s="82" t="n"/>
      <c r="C34" s="82" t="n"/>
      <c r="D34" s="82" t="n"/>
      <c r="E34" s="82" t="n"/>
      <c r="F34" s="82" t="n"/>
    </row>
  </sheetData>
  <mergeCells count="5">
    <mergeCell ref="A2:F2"/>
    <mergeCell ref="B11:C11"/>
    <mergeCell ref="B5:C5"/>
    <mergeCell ref="A1:F1"/>
    <mergeCell ref="E11:F11"/>
  </mergeCells>
  <dataValidations count="2">
    <dataValidation sqref="C8" showDropDown="0" showInputMessage="0" showErrorMessage="0" allowBlank="0" type="whole" errorStyle="stop" operator="greaterThan">
      <formula1>0</formula1>
      <formula2>0</formula2>
    </dataValidation>
    <dataValidation sqref="F12:F15" showDropDown="0" showInputMessage="0" showErrorMessage="0" allowBlank="0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U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" customWidth="1" style="78" min="1" max="2"/>
    <col width="30" customWidth="1" style="78" min="3" max="3"/>
    <col width="18" customWidth="1" style="78" min="4" max="4"/>
    <col width="8" customWidth="1" style="78" min="5" max="5"/>
    <col width="14" customWidth="1" style="78" min="6" max="7"/>
    <col width="15" customWidth="1" style="78" min="8" max="8"/>
    <col width="14" customWidth="1" style="78" min="9" max="9"/>
    <col width="18" customWidth="1" style="78" min="10" max="10"/>
    <col width="13" customWidth="1" style="78" min="11" max="12"/>
    <col width="14" customWidth="1" style="78" min="13" max="13"/>
    <col width="11" customWidth="1" style="78" min="14" max="14"/>
    <col width="14" customWidth="1" style="78" min="15" max="15"/>
    <col width="15" customWidth="1" style="78" min="16" max="16"/>
    <col width="14" customWidth="1" style="78" min="17" max="17"/>
    <col width="15" customWidth="1" style="78" min="18" max="19"/>
    <col width="12" customWidth="1" style="78" min="20" max="21"/>
  </cols>
  <sheetData>
    <row r="1" ht="33.75" customHeight="1" s="79">
      <c r="A1" s="80" t="inlineStr">
        <is>
          <t>INVENTARIO Y VENTAS — 50 SKU</t>
        </is>
      </c>
    </row>
    <row r="2" ht="25.5" customHeight="1" s="79">
      <c r="A2" s="81" t="inlineStr">
        <is>
          <t>Una fila por SKU. Las celdas amarillas son editables; los cálculos usan exclusivamente los datos introducidos.</t>
        </is>
      </c>
    </row>
    <row r="3" ht="15" customHeight="1" s="79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82" t="n"/>
      <c r="S3" s="82" t="n"/>
      <c r="T3" s="82" t="n"/>
      <c r="U3" s="82" t="n"/>
    </row>
    <row r="4" ht="15" customHeight="1" s="79">
      <c r="A4" s="82" t="n"/>
      <c r="B4" s="82" t="n"/>
      <c r="C4" s="82" t="n"/>
      <c r="D4" s="82" t="n"/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</row>
    <row r="5" ht="15" customHeight="1" s="79">
      <c r="A5" s="82" t="n"/>
      <c r="B5" s="82" t="n"/>
      <c r="C5" s="82" t="n"/>
      <c r="D5" s="82" t="n"/>
      <c r="E5" s="82" t="n"/>
      <c r="F5" s="82" t="n"/>
      <c r="G5" s="82" t="n"/>
      <c r="H5" s="82" t="n"/>
      <c r="I5" s="82" t="n"/>
      <c r="J5" s="82" t="n"/>
      <c r="K5" s="82" t="n"/>
      <c r="L5" s="82" t="n"/>
      <c r="M5" s="82" t="n"/>
      <c r="N5" s="82" t="n"/>
      <c r="O5" s="82" t="n"/>
      <c r="P5" s="82" t="n"/>
      <c r="Q5" s="82" t="n"/>
      <c r="R5" s="82" t="n"/>
      <c r="S5" s="82" t="n"/>
      <c r="T5" s="82" t="n"/>
      <c r="U5" s="82" t="n"/>
    </row>
    <row r="6" ht="15" customHeight="1" s="79">
      <c r="A6" s="82" t="n"/>
      <c r="B6" s="82" t="n"/>
      <c r="C6" s="82" t="n"/>
      <c r="D6" s="82" t="n"/>
      <c r="E6" s="82" t="n"/>
      <c r="F6" s="82" t="n"/>
      <c r="G6" s="82" t="n"/>
      <c r="H6" s="82" t="n"/>
      <c r="I6" s="82" t="n"/>
      <c r="J6" s="82" t="n"/>
      <c r="K6" s="82" t="n"/>
      <c r="L6" s="82" t="n"/>
      <c r="M6" s="82" t="n"/>
      <c r="N6" s="82" t="n"/>
      <c r="O6" s="82" t="n"/>
      <c r="P6" s="82" t="n"/>
      <c r="Q6" s="82" t="n"/>
      <c r="R6" s="82" t="n"/>
      <c r="S6" s="82" t="n"/>
      <c r="T6" s="82" t="n"/>
      <c r="U6" s="82" t="n"/>
    </row>
    <row r="7" ht="33.75" customHeight="1" s="79">
      <c r="A7" s="105" t="inlineStr">
        <is>
          <t>SKU</t>
        </is>
      </c>
      <c r="B7" s="105" t="inlineStr">
        <is>
          <t>Fecha de compra</t>
        </is>
      </c>
      <c r="C7" s="105" t="inlineStr">
        <is>
          <t>Artículo</t>
        </is>
      </c>
      <c r="D7" s="105" t="inlineStr">
        <is>
          <t>Categoría</t>
        </is>
      </c>
      <c r="E7" s="105" t="inlineStr">
        <is>
          <t>Cantidad</t>
        </is>
      </c>
      <c r="F7" s="105" t="inlineStr">
        <is>
          <t>Coste unitario</t>
        </is>
      </c>
      <c r="G7" s="105" t="inlineStr">
        <is>
          <t>Preparación (total línea)</t>
        </is>
      </c>
      <c r="H7" s="105" t="inlineStr">
        <is>
          <t>Coste total</t>
        </is>
      </c>
      <c r="I7" s="105" t="inlineStr">
        <is>
          <t>Precio publicado</t>
        </is>
      </c>
      <c r="J7" s="105" t="inlineStr">
        <is>
          <t>Canal</t>
        </is>
      </c>
      <c r="K7" s="105" t="inlineStr">
        <is>
          <t>Estado</t>
        </is>
      </c>
      <c r="L7" s="105" t="inlineStr">
        <is>
          <t>Fecha de venta</t>
        </is>
      </c>
      <c r="M7" s="105" t="inlineStr">
        <is>
          <t>Precio de venta total</t>
        </is>
      </c>
      <c r="N7" s="105" t="inlineStr">
        <is>
          <t>Comisión %</t>
        </is>
      </c>
      <c r="O7" s="105" t="inlineStr">
        <is>
          <t>Comisión plataforma</t>
        </is>
      </c>
      <c r="P7" s="105" t="inlineStr">
        <is>
          <t>Envío cobrado</t>
        </is>
      </c>
      <c r="Q7" s="105" t="inlineStr">
        <is>
          <t>Envío pagado</t>
        </is>
      </c>
      <c r="R7" s="105" t="inlineStr">
        <is>
          <t>Entrada neta calculada</t>
        </is>
      </c>
      <c r="S7" s="105" t="inlineStr">
        <is>
          <t>Resultado calculado</t>
        </is>
      </c>
      <c r="T7" s="105" t="inlineStr">
        <is>
          <t>Margen calculado</t>
        </is>
      </c>
      <c r="U7" s="105" t="inlineStr">
        <is>
          <t>Días en inventario</t>
        </is>
      </c>
    </row>
    <row r="8" ht="15" customHeight="1" s="79">
      <c r="A8" s="96" t="inlineStr">
        <is>
          <t>RS-001</t>
        </is>
      </c>
      <c r="B8" s="106" t="n">
        <v>46144</v>
      </c>
      <c r="C8" s="107" t="inlineStr">
        <is>
          <t>Chaqueta de lana vintage</t>
        </is>
      </c>
      <c r="D8" s="107" t="inlineStr">
        <is>
          <t>Ropa</t>
        </is>
      </c>
      <c r="E8" s="107" t="n">
        <v>1</v>
      </c>
      <c r="F8" s="108" t="n">
        <v>28</v>
      </c>
      <c r="G8" s="109" t="n">
        <v>6</v>
      </c>
      <c r="H8" s="110">
        <f>IF($A8="","",$E8*$F8+$G8)</f>
        <v/>
      </c>
      <c r="I8" s="111" t="n">
        <v>95</v>
      </c>
      <c r="J8" s="107" t="inlineStr">
        <is>
          <t>Marketplace A</t>
        </is>
      </c>
      <c r="K8" s="107" t="inlineStr">
        <is>
          <t>Vendido</t>
        </is>
      </c>
      <c r="L8" s="106" t="n">
        <v>46187</v>
      </c>
      <c r="M8" s="109" t="n">
        <v>88</v>
      </c>
      <c r="N8" s="112">
        <f>IF($J8="","",IFERROR(INDEX(CONFIG!$F$12:$F$15,MATCH($J8,CONFIG!$E$12:$E$15,0)),0))</f>
        <v/>
      </c>
      <c r="O8" s="113">
        <f>IF($K8&lt;&gt;"Vendido",0,IF($M8="",0,$M8*$N8))</f>
        <v/>
      </c>
      <c r="P8" s="111" t="n">
        <v>8</v>
      </c>
      <c r="Q8" s="109" t="n">
        <v>12</v>
      </c>
      <c r="R8" s="114">
        <f>IF($K8&lt;&gt;"Vendido",0,$M8-$O8+$P8-$Q8)</f>
        <v/>
      </c>
      <c r="S8" s="115">
        <f>IF($A8="","",IF($K8&lt;&gt;"Vendido",0,$R8-$H8))</f>
        <v/>
      </c>
      <c r="T8" s="116">
        <f>IFERROR($S8/$R8,0)</f>
        <v/>
      </c>
      <c r="U8" s="117">
        <f>IF($B8="","",MAX(0,IF($L8&lt;&gt;"",$L8-$B8,CONFIG!$C$6-$B8)))</f>
        <v/>
      </c>
    </row>
    <row r="9" ht="15" customHeight="1" s="79">
      <c r="A9" s="98" t="inlineStr">
        <is>
          <t>RS-002</t>
        </is>
      </c>
      <c r="B9" s="118" t="n">
        <v>46181</v>
      </c>
      <c r="C9" s="119" t="inlineStr">
        <is>
          <t>Botines de cuero</t>
        </is>
      </c>
      <c r="D9" s="119" t="inlineStr">
        <is>
          <t>Calzado</t>
        </is>
      </c>
      <c r="E9" s="119" t="n">
        <v>1</v>
      </c>
      <c r="F9" s="120" t="n">
        <v>35</v>
      </c>
      <c r="G9" s="121" t="n">
        <v>8</v>
      </c>
      <c r="H9" s="122">
        <f>IF($A9="","",$E9*$F9+$G9)</f>
        <v/>
      </c>
      <c r="I9" s="123" t="n">
        <v>110</v>
      </c>
      <c r="J9" s="119" t="inlineStr">
        <is>
          <t>Marketplace B</t>
        </is>
      </c>
      <c r="K9" s="119" t="inlineStr">
        <is>
          <t>Activo</t>
        </is>
      </c>
      <c r="L9" s="118" t="n"/>
      <c r="M9" s="121" t="n">
        <v>0</v>
      </c>
      <c r="N9" s="124">
        <f>IF($J9="","",IFERROR(INDEX(CONFIG!$F$12:$F$15,MATCH($J9,CONFIG!$E$12:$E$15,0)),0))</f>
        <v/>
      </c>
      <c r="O9" s="125">
        <f>IF($K9&lt;&gt;"Vendido",0,IF($M9="",0,$M9*$N9))</f>
        <v/>
      </c>
      <c r="P9" s="123" t="n">
        <v>0</v>
      </c>
      <c r="Q9" s="121" t="n">
        <v>0</v>
      </c>
      <c r="R9" s="126">
        <f>IF($K9&lt;&gt;"Vendido",0,$M9-$O9+$P9-$Q9)</f>
        <v/>
      </c>
      <c r="S9" s="127">
        <f>IF($A9="","",IF($K9&lt;&gt;"Vendido",0,$R9-$H9))</f>
        <v/>
      </c>
      <c r="T9" s="128">
        <f>IFERROR($S9/$R9,0)</f>
        <v/>
      </c>
      <c r="U9" s="129">
        <f>IF($B9="","",MAX(0,IF($L9&lt;&gt;"",$L9-$B9,CONFIG!$C$6-$B9)))</f>
        <v/>
      </c>
    </row>
    <row r="10" ht="15" customHeight="1" s="79">
      <c r="A10" s="98" t="inlineStr">
        <is>
          <t>RS-003</t>
        </is>
      </c>
      <c r="B10" s="118" t="n">
        <v>46204</v>
      </c>
      <c r="C10" s="119" t="inlineStr">
        <is>
          <t>Lámpara de mesa de cerámica</t>
        </is>
      </c>
      <c r="D10" s="119" t="inlineStr">
        <is>
          <t>Hogar</t>
        </is>
      </c>
      <c r="E10" s="119" t="n">
        <v>1</v>
      </c>
      <c r="F10" s="120" t="n">
        <v>18</v>
      </c>
      <c r="G10" s="121" t="n">
        <v>4</v>
      </c>
      <c r="H10" s="122">
        <f>IF($A10="","",$E10*$F10+$G10)</f>
        <v/>
      </c>
      <c r="I10" s="123" t="n">
        <v>72</v>
      </c>
      <c r="J10" s="119" t="inlineStr">
        <is>
          <t>Venta directa</t>
        </is>
      </c>
      <c r="K10" s="119" t="inlineStr">
        <is>
          <t>Vendido</t>
        </is>
      </c>
      <c r="L10" s="118" t="n">
        <v>46225</v>
      </c>
      <c r="M10" s="121" t="n">
        <v>70</v>
      </c>
      <c r="N10" s="124">
        <f>IF($J10="","",IFERROR(INDEX(CONFIG!$F$12:$F$15,MATCH($J10,CONFIG!$E$12:$E$15,0)),0))</f>
        <v/>
      </c>
      <c r="O10" s="125">
        <f>IF($K10&lt;&gt;"Vendido",0,IF($M10="",0,$M10*$N10))</f>
        <v/>
      </c>
      <c r="P10" s="123" t="n">
        <v>0</v>
      </c>
      <c r="Q10" s="121" t="n">
        <v>10</v>
      </c>
      <c r="R10" s="126">
        <f>IF($K10&lt;&gt;"Vendido",0,$M10-$O10+$P10-$Q10)</f>
        <v/>
      </c>
      <c r="S10" s="127">
        <f>IF($A10="","",IF($K10&lt;&gt;"Vendido",0,$R10-$H10))</f>
        <v/>
      </c>
      <c r="T10" s="128">
        <f>IFERROR($S10/$R10,0)</f>
        <v/>
      </c>
      <c r="U10" s="129">
        <f>IF($B10="","",MAX(0,IF($L10&lt;&gt;"",$L10-$B10,CONFIG!$C$6-$B10)))</f>
        <v/>
      </c>
    </row>
    <row r="11" ht="15" customHeight="1" s="79">
      <c r="A11" s="98" t="n"/>
      <c r="B11" s="118" t="n"/>
      <c r="C11" s="119" t="n"/>
      <c r="D11" s="119" t="n"/>
      <c r="E11" s="119" t="n"/>
      <c r="F11" s="120" t="n"/>
      <c r="G11" s="121" t="n"/>
      <c r="H11" s="122">
        <f>IF($A11="","",$E11*$F11+$G11)</f>
        <v/>
      </c>
      <c r="I11" s="123" t="n"/>
      <c r="J11" s="119" t="n"/>
      <c r="K11" s="119" t="n"/>
      <c r="L11" s="118" t="n"/>
      <c r="M11" s="121" t="n"/>
      <c r="N11" s="124">
        <f>IF($J11="","",IFERROR(INDEX(CONFIG!$F$12:$F$15,MATCH($J11,CONFIG!$E$12:$E$15,0)),0))</f>
        <v/>
      </c>
      <c r="O11" s="125">
        <f>IF($K11&lt;&gt;"Vendido",0,IF($M11="",0,$M11*$N11))</f>
        <v/>
      </c>
      <c r="P11" s="123" t="n"/>
      <c r="Q11" s="121" t="n"/>
      <c r="R11" s="126">
        <f>IF($K11&lt;&gt;"Vendido",0,$M11-$O11+$P11-$Q11)</f>
        <v/>
      </c>
      <c r="S11" s="127">
        <f>IF($A11="","",IF($K11&lt;&gt;"Vendido",0,$R11-$H11))</f>
        <v/>
      </c>
      <c r="T11" s="128">
        <f>IFERROR($S11/$R11,0)</f>
        <v/>
      </c>
      <c r="U11" s="129">
        <f>IF($B11="","",MAX(0,IF($L11&lt;&gt;"",$L11-$B11,CONFIG!$C$6-$B11)))</f>
        <v/>
      </c>
    </row>
    <row r="12" ht="15" customHeight="1" s="79">
      <c r="A12" s="98" t="n"/>
      <c r="B12" s="118" t="n"/>
      <c r="C12" s="119" t="n"/>
      <c r="D12" s="119" t="n"/>
      <c r="E12" s="119" t="n"/>
      <c r="F12" s="120" t="n"/>
      <c r="G12" s="121" t="n"/>
      <c r="H12" s="122">
        <f>IF($A12="","",$E12*$F12+$G12)</f>
        <v/>
      </c>
      <c r="I12" s="123" t="n"/>
      <c r="J12" s="119" t="n"/>
      <c r="K12" s="119" t="n"/>
      <c r="L12" s="118" t="n"/>
      <c r="M12" s="121" t="n"/>
      <c r="N12" s="124">
        <f>IF($J12="","",IFERROR(INDEX(CONFIG!$F$12:$F$15,MATCH($J12,CONFIG!$E$12:$E$15,0)),0))</f>
        <v/>
      </c>
      <c r="O12" s="125">
        <f>IF($K12&lt;&gt;"Vendido",0,IF($M12="",0,$M12*$N12))</f>
        <v/>
      </c>
      <c r="P12" s="123" t="n"/>
      <c r="Q12" s="121" t="n"/>
      <c r="R12" s="126">
        <f>IF($K12&lt;&gt;"Vendido",0,$M12-$O12+$P12-$Q12)</f>
        <v/>
      </c>
      <c r="S12" s="127">
        <f>IF($A12="","",IF($K12&lt;&gt;"Vendido",0,$R12-$H12))</f>
        <v/>
      </c>
      <c r="T12" s="128">
        <f>IFERROR($S12/$R12,0)</f>
        <v/>
      </c>
      <c r="U12" s="129">
        <f>IF($B12="","",MAX(0,IF($L12&lt;&gt;"",$L12-$B12,CONFIG!$C$6-$B12)))</f>
        <v/>
      </c>
    </row>
    <row r="13" ht="15" customHeight="1" s="79">
      <c r="A13" s="98" t="n"/>
      <c r="B13" s="118" t="n"/>
      <c r="C13" s="119" t="n"/>
      <c r="D13" s="119" t="n"/>
      <c r="E13" s="119" t="n"/>
      <c r="F13" s="120" t="n"/>
      <c r="G13" s="121" t="n"/>
      <c r="H13" s="122">
        <f>IF($A13="","",$E13*$F13+$G13)</f>
        <v/>
      </c>
      <c r="I13" s="123" t="n"/>
      <c r="J13" s="119" t="n"/>
      <c r="K13" s="119" t="n"/>
      <c r="L13" s="118" t="n"/>
      <c r="M13" s="121" t="n"/>
      <c r="N13" s="124">
        <f>IF($J13="","",IFERROR(INDEX(CONFIG!$F$12:$F$15,MATCH($J13,CONFIG!$E$12:$E$15,0)),0))</f>
        <v/>
      </c>
      <c r="O13" s="125">
        <f>IF($K13&lt;&gt;"Vendido",0,IF($M13="",0,$M13*$N13))</f>
        <v/>
      </c>
      <c r="P13" s="123" t="n"/>
      <c r="Q13" s="121" t="n"/>
      <c r="R13" s="126">
        <f>IF($K13&lt;&gt;"Vendido",0,$M13-$O13+$P13-$Q13)</f>
        <v/>
      </c>
      <c r="S13" s="127">
        <f>IF($A13="","",IF($K13&lt;&gt;"Vendido",0,$R13-$H13))</f>
        <v/>
      </c>
      <c r="T13" s="128">
        <f>IFERROR($S13/$R13,0)</f>
        <v/>
      </c>
      <c r="U13" s="129">
        <f>IF($B13="","",MAX(0,IF($L13&lt;&gt;"",$L13-$B13,CONFIG!$C$6-$B13)))</f>
        <v/>
      </c>
    </row>
    <row r="14" ht="15" customHeight="1" s="79">
      <c r="A14" s="98" t="n"/>
      <c r="B14" s="118" t="n"/>
      <c r="C14" s="119" t="n"/>
      <c r="D14" s="119" t="n"/>
      <c r="E14" s="119" t="n"/>
      <c r="F14" s="120" t="n"/>
      <c r="G14" s="121" t="n"/>
      <c r="H14" s="122">
        <f>IF($A14="","",$E14*$F14+$G14)</f>
        <v/>
      </c>
      <c r="I14" s="123" t="n"/>
      <c r="J14" s="119" t="n"/>
      <c r="K14" s="119" t="n"/>
      <c r="L14" s="118" t="n"/>
      <c r="M14" s="121" t="n"/>
      <c r="N14" s="124">
        <f>IF($J14="","",IFERROR(INDEX(CONFIG!$F$12:$F$15,MATCH($J14,CONFIG!$E$12:$E$15,0)),0))</f>
        <v/>
      </c>
      <c r="O14" s="125">
        <f>IF($K14&lt;&gt;"Vendido",0,IF($M14="",0,$M14*$N14))</f>
        <v/>
      </c>
      <c r="P14" s="123" t="n"/>
      <c r="Q14" s="121" t="n"/>
      <c r="R14" s="126">
        <f>IF($K14&lt;&gt;"Vendido",0,$M14-$O14+$P14-$Q14)</f>
        <v/>
      </c>
      <c r="S14" s="127">
        <f>IF($A14="","",IF($K14&lt;&gt;"Vendido",0,$R14-$H14))</f>
        <v/>
      </c>
      <c r="T14" s="128">
        <f>IFERROR($S14/$R14,0)</f>
        <v/>
      </c>
      <c r="U14" s="129">
        <f>IF($B14="","",MAX(0,IF($L14&lt;&gt;"",$L14-$B14,CONFIG!$C$6-$B14)))</f>
        <v/>
      </c>
    </row>
    <row r="15" ht="15" customHeight="1" s="79">
      <c r="A15" s="98" t="n"/>
      <c r="B15" s="118" t="n"/>
      <c r="C15" s="119" t="n"/>
      <c r="D15" s="119" t="n"/>
      <c r="E15" s="119" t="n"/>
      <c r="F15" s="120" t="n"/>
      <c r="G15" s="121" t="n"/>
      <c r="H15" s="122">
        <f>IF($A15="","",$E15*$F15+$G15)</f>
        <v/>
      </c>
      <c r="I15" s="123" t="n"/>
      <c r="J15" s="119" t="n"/>
      <c r="K15" s="119" t="n"/>
      <c r="L15" s="118" t="n"/>
      <c r="M15" s="121" t="n"/>
      <c r="N15" s="124">
        <f>IF($J15="","",IFERROR(INDEX(CONFIG!$F$12:$F$15,MATCH($J15,CONFIG!$E$12:$E$15,0)),0))</f>
        <v/>
      </c>
      <c r="O15" s="125">
        <f>IF($K15&lt;&gt;"Vendido",0,IF($M15="",0,$M15*$N15))</f>
        <v/>
      </c>
      <c r="P15" s="123" t="n"/>
      <c r="Q15" s="121" t="n"/>
      <c r="R15" s="126">
        <f>IF($K15&lt;&gt;"Vendido",0,$M15-$O15+$P15-$Q15)</f>
        <v/>
      </c>
      <c r="S15" s="127">
        <f>IF($A15="","",IF($K15&lt;&gt;"Vendido",0,$R15-$H15))</f>
        <v/>
      </c>
      <c r="T15" s="128">
        <f>IFERROR($S15/$R15,0)</f>
        <v/>
      </c>
      <c r="U15" s="129">
        <f>IF($B15="","",MAX(0,IF($L15&lt;&gt;"",$L15-$B15,CONFIG!$C$6-$B15)))</f>
        <v/>
      </c>
    </row>
    <row r="16" ht="15" customHeight="1" s="79">
      <c r="A16" s="98" t="n"/>
      <c r="B16" s="118" t="n"/>
      <c r="C16" s="119" t="n"/>
      <c r="D16" s="119" t="n"/>
      <c r="E16" s="119" t="n"/>
      <c r="F16" s="120" t="n"/>
      <c r="G16" s="121" t="n"/>
      <c r="H16" s="122">
        <f>IF($A16="","",$E16*$F16+$G16)</f>
        <v/>
      </c>
      <c r="I16" s="123" t="n"/>
      <c r="J16" s="119" t="n"/>
      <c r="K16" s="119" t="n"/>
      <c r="L16" s="118" t="n"/>
      <c r="M16" s="121" t="n"/>
      <c r="N16" s="124">
        <f>IF($J16="","",IFERROR(INDEX(CONFIG!$F$12:$F$15,MATCH($J16,CONFIG!$E$12:$E$15,0)),0))</f>
        <v/>
      </c>
      <c r="O16" s="125">
        <f>IF($K16&lt;&gt;"Vendido",0,IF($M16="",0,$M16*$N16))</f>
        <v/>
      </c>
      <c r="P16" s="123" t="n"/>
      <c r="Q16" s="121" t="n"/>
      <c r="R16" s="126">
        <f>IF($K16&lt;&gt;"Vendido",0,$M16-$O16+$P16-$Q16)</f>
        <v/>
      </c>
      <c r="S16" s="127">
        <f>IF($A16="","",IF($K16&lt;&gt;"Vendido",0,$R16-$H16))</f>
        <v/>
      </c>
      <c r="T16" s="128">
        <f>IFERROR($S16/$R16,0)</f>
        <v/>
      </c>
      <c r="U16" s="129">
        <f>IF($B16="","",MAX(0,IF($L16&lt;&gt;"",$L16-$B16,CONFIG!$C$6-$B16)))</f>
        <v/>
      </c>
    </row>
    <row r="17" ht="15" customHeight="1" s="79">
      <c r="A17" s="98" t="n"/>
      <c r="B17" s="118" t="n"/>
      <c r="C17" s="119" t="n"/>
      <c r="D17" s="119" t="n"/>
      <c r="E17" s="119" t="n"/>
      <c r="F17" s="120" t="n"/>
      <c r="G17" s="121" t="n"/>
      <c r="H17" s="122">
        <f>IF($A17="","",$E17*$F17+$G17)</f>
        <v/>
      </c>
      <c r="I17" s="123" t="n"/>
      <c r="J17" s="119" t="n"/>
      <c r="K17" s="119" t="n"/>
      <c r="L17" s="118" t="n"/>
      <c r="M17" s="121" t="n"/>
      <c r="N17" s="124">
        <f>IF($J17="","",IFERROR(INDEX(CONFIG!$F$12:$F$15,MATCH($J17,CONFIG!$E$12:$E$15,0)),0))</f>
        <v/>
      </c>
      <c r="O17" s="125">
        <f>IF($K17&lt;&gt;"Vendido",0,IF($M17="",0,$M17*$N17))</f>
        <v/>
      </c>
      <c r="P17" s="123" t="n"/>
      <c r="Q17" s="121" t="n"/>
      <c r="R17" s="126">
        <f>IF($K17&lt;&gt;"Vendido",0,$M17-$O17+$P17-$Q17)</f>
        <v/>
      </c>
      <c r="S17" s="127">
        <f>IF($A17="","",IF($K17&lt;&gt;"Vendido",0,$R17-$H17))</f>
        <v/>
      </c>
      <c r="T17" s="128">
        <f>IFERROR($S17/$R17,0)</f>
        <v/>
      </c>
      <c r="U17" s="129">
        <f>IF($B17="","",MAX(0,IF($L17&lt;&gt;"",$L17-$B17,CONFIG!$C$6-$B17)))</f>
        <v/>
      </c>
    </row>
    <row r="18" ht="15" customHeight="1" s="79">
      <c r="A18" s="98" t="n"/>
      <c r="B18" s="118" t="n"/>
      <c r="C18" s="119" t="n"/>
      <c r="D18" s="119" t="n"/>
      <c r="E18" s="119" t="n"/>
      <c r="F18" s="120" t="n"/>
      <c r="G18" s="121" t="n"/>
      <c r="H18" s="122">
        <f>IF($A18="","",$E18*$F18+$G18)</f>
        <v/>
      </c>
      <c r="I18" s="123" t="n"/>
      <c r="J18" s="119" t="n"/>
      <c r="K18" s="119" t="n"/>
      <c r="L18" s="118" t="n"/>
      <c r="M18" s="121" t="n"/>
      <c r="N18" s="124">
        <f>IF($J18="","",IFERROR(INDEX(CONFIG!$F$12:$F$15,MATCH($J18,CONFIG!$E$12:$E$15,0)),0))</f>
        <v/>
      </c>
      <c r="O18" s="125">
        <f>IF($K18&lt;&gt;"Vendido",0,IF($M18="",0,$M18*$N18))</f>
        <v/>
      </c>
      <c r="P18" s="123" t="n"/>
      <c r="Q18" s="121" t="n"/>
      <c r="R18" s="126">
        <f>IF($K18&lt;&gt;"Vendido",0,$M18-$O18+$P18-$Q18)</f>
        <v/>
      </c>
      <c r="S18" s="127">
        <f>IF($A18="","",IF($K18&lt;&gt;"Vendido",0,$R18-$H18))</f>
        <v/>
      </c>
      <c r="T18" s="128">
        <f>IFERROR($S18/$R18,0)</f>
        <v/>
      </c>
      <c r="U18" s="129">
        <f>IF($B18="","",MAX(0,IF($L18&lt;&gt;"",$L18-$B18,CONFIG!$C$6-$B18)))</f>
        <v/>
      </c>
    </row>
    <row r="19" ht="15" customHeight="1" s="79">
      <c r="A19" s="98" t="n"/>
      <c r="B19" s="118" t="n"/>
      <c r="C19" s="119" t="n"/>
      <c r="D19" s="119" t="n"/>
      <c r="E19" s="119" t="n"/>
      <c r="F19" s="120" t="n"/>
      <c r="G19" s="121" t="n"/>
      <c r="H19" s="122">
        <f>IF($A19="","",$E19*$F19+$G19)</f>
        <v/>
      </c>
      <c r="I19" s="123" t="n"/>
      <c r="J19" s="119" t="n"/>
      <c r="K19" s="119" t="n"/>
      <c r="L19" s="118" t="n"/>
      <c r="M19" s="121" t="n"/>
      <c r="N19" s="124">
        <f>IF($J19="","",IFERROR(INDEX(CONFIG!$F$12:$F$15,MATCH($J19,CONFIG!$E$12:$E$15,0)),0))</f>
        <v/>
      </c>
      <c r="O19" s="125">
        <f>IF($K19&lt;&gt;"Vendido",0,IF($M19="",0,$M19*$N19))</f>
        <v/>
      </c>
      <c r="P19" s="123" t="n"/>
      <c r="Q19" s="121" t="n"/>
      <c r="R19" s="126">
        <f>IF($K19&lt;&gt;"Vendido",0,$M19-$O19+$P19-$Q19)</f>
        <v/>
      </c>
      <c r="S19" s="127">
        <f>IF($A19="","",IF($K19&lt;&gt;"Vendido",0,$R19-$H19))</f>
        <v/>
      </c>
      <c r="T19" s="128">
        <f>IFERROR($S19/$R19,0)</f>
        <v/>
      </c>
      <c r="U19" s="129">
        <f>IF($B19="","",MAX(0,IF($L19&lt;&gt;"",$L19-$B19,CONFIG!$C$6-$B19)))</f>
        <v/>
      </c>
    </row>
    <row r="20" ht="15" customHeight="1" s="79">
      <c r="A20" s="98" t="n"/>
      <c r="B20" s="118" t="n"/>
      <c r="C20" s="119" t="n"/>
      <c r="D20" s="119" t="n"/>
      <c r="E20" s="119" t="n"/>
      <c r="F20" s="120" t="n"/>
      <c r="G20" s="121" t="n"/>
      <c r="H20" s="122">
        <f>IF($A20="","",$E20*$F20+$G20)</f>
        <v/>
      </c>
      <c r="I20" s="123" t="n"/>
      <c r="J20" s="119" t="n"/>
      <c r="K20" s="119" t="n"/>
      <c r="L20" s="118" t="n"/>
      <c r="M20" s="121" t="n"/>
      <c r="N20" s="124">
        <f>IF($J20="","",IFERROR(INDEX(CONFIG!$F$12:$F$15,MATCH($J20,CONFIG!$E$12:$E$15,0)),0))</f>
        <v/>
      </c>
      <c r="O20" s="125">
        <f>IF($K20&lt;&gt;"Vendido",0,IF($M20="",0,$M20*$N20))</f>
        <v/>
      </c>
      <c r="P20" s="123" t="n"/>
      <c r="Q20" s="121" t="n"/>
      <c r="R20" s="126">
        <f>IF($K20&lt;&gt;"Vendido",0,$M20-$O20+$P20-$Q20)</f>
        <v/>
      </c>
      <c r="S20" s="127">
        <f>IF($A20="","",IF($K20&lt;&gt;"Vendido",0,$R20-$H20))</f>
        <v/>
      </c>
      <c r="T20" s="128">
        <f>IFERROR($S20/$R20,0)</f>
        <v/>
      </c>
      <c r="U20" s="129">
        <f>IF($B20="","",MAX(0,IF($L20&lt;&gt;"",$L20-$B20,CONFIG!$C$6-$B20)))</f>
        <v/>
      </c>
    </row>
    <row r="21" ht="15" customHeight="1" s="79">
      <c r="A21" s="98" t="n"/>
      <c r="B21" s="118" t="n"/>
      <c r="C21" s="119" t="n"/>
      <c r="D21" s="119" t="n"/>
      <c r="E21" s="119" t="n"/>
      <c r="F21" s="120" t="n"/>
      <c r="G21" s="121" t="n"/>
      <c r="H21" s="122">
        <f>IF($A21="","",$E21*$F21+$G21)</f>
        <v/>
      </c>
      <c r="I21" s="123" t="n"/>
      <c r="J21" s="119" t="n"/>
      <c r="K21" s="119" t="n"/>
      <c r="L21" s="118" t="n"/>
      <c r="M21" s="121" t="n"/>
      <c r="N21" s="124">
        <f>IF($J21="","",IFERROR(INDEX(CONFIG!$F$12:$F$15,MATCH($J21,CONFIG!$E$12:$E$15,0)),0))</f>
        <v/>
      </c>
      <c r="O21" s="125">
        <f>IF($K21&lt;&gt;"Vendido",0,IF($M21="",0,$M21*$N21))</f>
        <v/>
      </c>
      <c r="P21" s="123" t="n"/>
      <c r="Q21" s="121" t="n"/>
      <c r="R21" s="126">
        <f>IF($K21&lt;&gt;"Vendido",0,$M21-$O21+$P21-$Q21)</f>
        <v/>
      </c>
      <c r="S21" s="127">
        <f>IF($A21="","",IF($K21&lt;&gt;"Vendido",0,$R21-$H21))</f>
        <v/>
      </c>
      <c r="T21" s="128">
        <f>IFERROR($S21/$R21,0)</f>
        <v/>
      </c>
      <c r="U21" s="129">
        <f>IF($B21="","",MAX(0,IF($L21&lt;&gt;"",$L21-$B21,CONFIG!$C$6-$B21)))</f>
        <v/>
      </c>
    </row>
    <row r="22" ht="15" customHeight="1" s="79">
      <c r="A22" s="98" t="n"/>
      <c r="B22" s="118" t="n"/>
      <c r="C22" s="119" t="n"/>
      <c r="D22" s="119" t="n"/>
      <c r="E22" s="119" t="n"/>
      <c r="F22" s="120" t="n"/>
      <c r="G22" s="121" t="n"/>
      <c r="H22" s="122">
        <f>IF($A22="","",$E22*$F22+$G22)</f>
        <v/>
      </c>
      <c r="I22" s="123" t="n"/>
      <c r="J22" s="119" t="n"/>
      <c r="K22" s="119" t="n"/>
      <c r="L22" s="118" t="n"/>
      <c r="M22" s="121" t="n"/>
      <c r="N22" s="124">
        <f>IF($J22="","",IFERROR(INDEX(CONFIG!$F$12:$F$15,MATCH($J22,CONFIG!$E$12:$E$15,0)),0))</f>
        <v/>
      </c>
      <c r="O22" s="125">
        <f>IF($K22&lt;&gt;"Vendido",0,IF($M22="",0,$M22*$N22))</f>
        <v/>
      </c>
      <c r="P22" s="123" t="n"/>
      <c r="Q22" s="121" t="n"/>
      <c r="R22" s="126">
        <f>IF($K22&lt;&gt;"Vendido",0,$M22-$O22+$P22-$Q22)</f>
        <v/>
      </c>
      <c r="S22" s="127">
        <f>IF($A22="","",IF($K22&lt;&gt;"Vendido",0,$R22-$H22))</f>
        <v/>
      </c>
      <c r="T22" s="128">
        <f>IFERROR($S22/$R22,0)</f>
        <v/>
      </c>
      <c r="U22" s="129">
        <f>IF($B22="","",MAX(0,IF($L22&lt;&gt;"",$L22-$B22,CONFIG!$C$6-$B22)))</f>
        <v/>
      </c>
    </row>
    <row r="23" ht="15" customHeight="1" s="79">
      <c r="A23" s="98" t="n"/>
      <c r="B23" s="118" t="n"/>
      <c r="C23" s="119" t="n"/>
      <c r="D23" s="119" t="n"/>
      <c r="E23" s="119" t="n"/>
      <c r="F23" s="120" t="n"/>
      <c r="G23" s="121" t="n"/>
      <c r="H23" s="122">
        <f>IF($A23="","",$E23*$F23+$G23)</f>
        <v/>
      </c>
      <c r="I23" s="123" t="n"/>
      <c r="J23" s="119" t="n"/>
      <c r="K23" s="119" t="n"/>
      <c r="L23" s="118" t="n"/>
      <c r="M23" s="121" t="n"/>
      <c r="N23" s="124">
        <f>IF($J23="","",IFERROR(INDEX(CONFIG!$F$12:$F$15,MATCH($J23,CONFIG!$E$12:$E$15,0)),0))</f>
        <v/>
      </c>
      <c r="O23" s="125">
        <f>IF($K23&lt;&gt;"Vendido",0,IF($M23="",0,$M23*$N23))</f>
        <v/>
      </c>
      <c r="P23" s="123" t="n"/>
      <c r="Q23" s="121" t="n"/>
      <c r="R23" s="126">
        <f>IF($K23&lt;&gt;"Vendido",0,$M23-$O23+$P23-$Q23)</f>
        <v/>
      </c>
      <c r="S23" s="127">
        <f>IF($A23="","",IF($K23&lt;&gt;"Vendido",0,$R23-$H23))</f>
        <v/>
      </c>
      <c r="T23" s="128">
        <f>IFERROR($S23/$R23,0)</f>
        <v/>
      </c>
      <c r="U23" s="129">
        <f>IF($B23="","",MAX(0,IF($L23&lt;&gt;"",$L23-$B23,CONFIG!$C$6-$B23)))</f>
        <v/>
      </c>
    </row>
    <row r="24" ht="15" customHeight="1" s="79">
      <c r="A24" s="98" t="n"/>
      <c r="B24" s="118" t="n"/>
      <c r="C24" s="119" t="n"/>
      <c r="D24" s="119" t="n"/>
      <c r="E24" s="119" t="n"/>
      <c r="F24" s="120" t="n"/>
      <c r="G24" s="121" t="n"/>
      <c r="H24" s="122">
        <f>IF($A24="","",$E24*$F24+$G24)</f>
        <v/>
      </c>
      <c r="I24" s="123" t="n"/>
      <c r="J24" s="119" t="n"/>
      <c r="K24" s="119" t="n"/>
      <c r="L24" s="118" t="n"/>
      <c r="M24" s="121" t="n"/>
      <c r="N24" s="124">
        <f>IF($J24="","",IFERROR(INDEX(CONFIG!$F$12:$F$15,MATCH($J24,CONFIG!$E$12:$E$15,0)),0))</f>
        <v/>
      </c>
      <c r="O24" s="125">
        <f>IF($K24&lt;&gt;"Vendido",0,IF($M24="",0,$M24*$N24))</f>
        <v/>
      </c>
      <c r="P24" s="123" t="n"/>
      <c r="Q24" s="121" t="n"/>
      <c r="R24" s="126">
        <f>IF($K24&lt;&gt;"Vendido",0,$M24-$O24+$P24-$Q24)</f>
        <v/>
      </c>
      <c r="S24" s="127">
        <f>IF($A24="","",IF($K24&lt;&gt;"Vendido",0,$R24-$H24))</f>
        <v/>
      </c>
      <c r="T24" s="128">
        <f>IFERROR($S24/$R24,0)</f>
        <v/>
      </c>
      <c r="U24" s="129">
        <f>IF($B24="","",MAX(0,IF($L24&lt;&gt;"",$L24-$B24,CONFIG!$C$6-$B24)))</f>
        <v/>
      </c>
    </row>
    <row r="25" ht="15" customHeight="1" s="79">
      <c r="A25" s="98" t="n"/>
      <c r="B25" s="118" t="n"/>
      <c r="C25" s="119" t="n"/>
      <c r="D25" s="119" t="n"/>
      <c r="E25" s="119" t="n"/>
      <c r="F25" s="120" t="n"/>
      <c r="G25" s="121" t="n"/>
      <c r="H25" s="122">
        <f>IF($A25="","",$E25*$F25+$G25)</f>
        <v/>
      </c>
      <c r="I25" s="123" t="n"/>
      <c r="J25" s="119" t="n"/>
      <c r="K25" s="119" t="n"/>
      <c r="L25" s="118" t="n"/>
      <c r="M25" s="121" t="n"/>
      <c r="N25" s="124">
        <f>IF($J25="","",IFERROR(INDEX(CONFIG!$F$12:$F$15,MATCH($J25,CONFIG!$E$12:$E$15,0)),0))</f>
        <v/>
      </c>
      <c r="O25" s="125">
        <f>IF($K25&lt;&gt;"Vendido",0,IF($M25="",0,$M25*$N25))</f>
        <v/>
      </c>
      <c r="P25" s="123" t="n"/>
      <c r="Q25" s="121" t="n"/>
      <c r="R25" s="126">
        <f>IF($K25&lt;&gt;"Vendido",0,$M25-$O25+$P25-$Q25)</f>
        <v/>
      </c>
      <c r="S25" s="127">
        <f>IF($A25="","",IF($K25&lt;&gt;"Vendido",0,$R25-$H25))</f>
        <v/>
      </c>
      <c r="T25" s="128">
        <f>IFERROR($S25/$R25,0)</f>
        <v/>
      </c>
      <c r="U25" s="129">
        <f>IF($B25="","",MAX(0,IF($L25&lt;&gt;"",$L25-$B25,CONFIG!$C$6-$B25)))</f>
        <v/>
      </c>
    </row>
    <row r="26" ht="15" customHeight="1" s="79">
      <c r="A26" s="98" t="n"/>
      <c r="B26" s="118" t="n"/>
      <c r="C26" s="119" t="n"/>
      <c r="D26" s="119" t="n"/>
      <c r="E26" s="119" t="n"/>
      <c r="F26" s="120" t="n"/>
      <c r="G26" s="121" t="n"/>
      <c r="H26" s="122">
        <f>IF($A26="","",$E26*$F26+$G26)</f>
        <v/>
      </c>
      <c r="I26" s="123" t="n"/>
      <c r="J26" s="119" t="n"/>
      <c r="K26" s="119" t="n"/>
      <c r="L26" s="118" t="n"/>
      <c r="M26" s="121" t="n"/>
      <c r="N26" s="124">
        <f>IF($J26="","",IFERROR(INDEX(CONFIG!$F$12:$F$15,MATCH($J26,CONFIG!$E$12:$E$15,0)),0))</f>
        <v/>
      </c>
      <c r="O26" s="125">
        <f>IF($K26&lt;&gt;"Vendido",0,IF($M26="",0,$M26*$N26))</f>
        <v/>
      </c>
      <c r="P26" s="123" t="n"/>
      <c r="Q26" s="121" t="n"/>
      <c r="R26" s="126">
        <f>IF($K26&lt;&gt;"Vendido",0,$M26-$O26+$P26-$Q26)</f>
        <v/>
      </c>
      <c r="S26" s="127">
        <f>IF($A26="","",IF($K26&lt;&gt;"Vendido",0,$R26-$H26))</f>
        <v/>
      </c>
      <c r="T26" s="128">
        <f>IFERROR($S26/$R26,0)</f>
        <v/>
      </c>
      <c r="U26" s="129">
        <f>IF($B26="","",MAX(0,IF($L26&lt;&gt;"",$L26-$B26,CONFIG!$C$6-$B26)))</f>
        <v/>
      </c>
    </row>
    <row r="27" ht="15" customHeight="1" s="79">
      <c r="A27" s="98" t="n"/>
      <c r="B27" s="118" t="n"/>
      <c r="C27" s="119" t="n"/>
      <c r="D27" s="119" t="n"/>
      <c r="E27" s="119" t="n"/>
      <c r="F27" s="120" t="n"/>
      <c r="G27" s="121" t="n"/>
      <c r="H27" s="122">
        <f>IF($A27="","",$E27*$F27+$G27)</f>
        <v/>
      </c>
      <c r="I27" s="123" t="n"/>
      <c r="J27" s="119" t="n"/>
      <c r="K27" s="119" t="n"/>
      <c r="L27" s="118" t="n"/>
      <c r="M27" s="121" t="n"/>
      <c r="N27" s="124">
        <f>IF($J27="","",IFERROR(INDEX(CONFIG!$F$12:$F$15,MATCH($J27,CONFIG!$E$12:$E$15,0)),0))</f>
        <v/>
      </c>
      <c r="O27" s="125">
        <f>IF($K27&lt;&gt;"Vendido",0,IF($M27="",0,$M27*$N27))</f>
        <v/>
      </c>
      <c r="P27" s="123" t="n"/>
      <c r="Q27" s="121" t="n"/>
      <c r="R27" s="126">
        <f>IF($K27&lt;&gt;"Vendido",0,$M27-$O27+$P27-$Q27)</f>
        <v/>
      </c>
      <c r="S27" s="127">
        <f>IF($A27="","",IF($K27&lt;&gt;"Vendido",0,$R27-$H27))</f>
        <v/>
      </c>
      <c r="T27" s="128">
        <f>IFERROR($S27/$R27,0)</f>
        <v/>
      </c>
      <c r="U27" s="129">
        <f>IF($B27="","",MAX(0,IF($L27&lt;&gt;"",$L27-$B27,CONFIG!$C$6-$B27)))</f>
        <v/>
      </c>
    </row>
    <row r="28" ht="15" customHeight="1" s="79">
      <c r="A28" s="98" t="n"/>
      <c r="B28" s="118" t="n"/>
      <c r="C28" s="119" t="n"/>
      <c r="D28" s="119" t="n"/>
      <c r="E28" s="119" t="n"/>
      <c r="F28" s="120" t="n"/>
      <c r="G28" s="121" t="n"/>
      <c r="H28" s="122">
        <f>IF($A28="","",$E28*$F28+$G28)</f>
        <v/>
      </c>
      <c r="I28" s="123" t="n"/>
      <c r="J28" s="119" t="n"/>
      <c r="K28" s="119" t="n"/>
      <c r="L28" s="118" t="n"/>
      <c r="M28" s="121" t="n"/>
      <c r="N28" s="124">
        <f>IF($J28="","",IFERROR(INDEX(CONFIG!$F$12:$F$15,MATCH($J28,CONFIG!$E$12:$E$15,0)),0))</f>
        <v/>
      </c>
      <c r="O28" s="125">
        <f>IF($K28&lt;&gt;"Vendido",0,IF($M28="",0,$M28*$N28))</f>
        <v/>
      </c>
      <c r="P28" s="123" t="n"/>
      <c r="Q28" s="121" t="n"/>
      <c r="R28" s="126">
        <f>IF($K28&lt;&gt;"Vendido",0,$M28-$O28+$P28-$Q28)</f>
        <v/>
      </c>
      <c r="S28" s="127">
        <f>IF($A28="","",IF($K28&lt;&gt;"Vendido",0,$R28-$H28))</f>
        <v/>
      </c>
      <c r="T28" s="128">
        <f>IFERROR($S28/$R28,0)</f>
        <v/>
      </c>
      <c r="U28" s="129">
        <f>IF($B28="","",MAX(0,IF($L28&lt;&gt;"",$L28-$B28,CONFIG!$C$6-$B28)))</f>
        <v/>
      </c>
    </row>
    <row r="29" ht="15" customHeight="1" s="79">
      <c r="A29" s="98" t="n"/>
      <c r="B29" s="118" t="n"/>
      <c r="C29" s="119" t="n"/>
      <c r="D29" s="119" t="n"/>
      <c r="E29" s="119" t="n"/>
      <c r="F29" s="120" t="n"/>
      <c r="G29" s="121" t="n"/>
      <c r="H29" s="122">
        <f>IF($A29="","",$E29*$F29+$G29)</f>
        <v/>
      </c>
      <c r="I29" s="123" t="n"/>
      <c r="J29" s="119" t="n"/>
      <c r="K29" s="119" t="n"/>
      <c r="L29" s="118" t="n"/>
      <c r="M29" s="121" t="n"/>
      <c r="N29" s="124">
        <f>IF($J29="","",IFERROR(INDEX(CONFIG!$F$12:$F$15,MATCH($J29,CONFIG!$E$12:$E$15,0)),0))</f>
        <v/>
      </c>
      <c r="O29" s="125">
        <f>IF($K29&lt;&gt;"Vendido",0,IF($M29="",0,$M29*$N29))</f>
        <v/>
      </c>
      <c r="P29" s="123" t="n"/>
      <c r="Q29" s="121" t="n"/>
      <c r="R29" s="126">
        <f>IF($K29&lt;&gt;"Vendido",0,$M29-$O29+$P29-$Q29)</f>
        <v/>
      </c>
      <c r="S29" s="127">
        <f>IF($A29="","",IF($K29&lt;&gt;"Vendido",0,$R29-$H29))</f>
        <v/>
      </c>
      <c r="T29" s="128">
        <f>IFERROR($S29/$R29,0)</f>
        <v/>
      </c>
      <c r="U29" s="129">
        <f>IF($B29="","",MAX(0,IF($L29&lt;&gt;"",$L29-$B29,CONFIG!$C$6-$B29)))</f>
        <v/>
      </c>
    </row>
    <row r="30" ht="15" customHeight="1" s="79">
      <c r="A30" s="98" t="n"/>
      <c r="B30" s="118" t="n"/>
      <c r="C30" s="119" t="n"/>
      <c r="D30" s="119" t="n"/>
      <c r="E30" s="119" t="n"/>
      <c r="F30" s="120" t="n"/>
      <c r="G30" s="121" t="n"/>
      <c r="H30" s="122">
        <f>IF($A30="","",$E30*$F30+$G30)</f>
        <v/>
      </c>
      <c r="I30" s="123" t="n"/>
      <c r="J30" s="119" t="n"/>
      <c r="K30" s="119" t="n"/>
      <c r="L30" s="118" t="n"/>
      <c r="M30" s="121" t="n"/>
      <c r="N30" s="124">
        <f>IF($J30="","",IFERROR(INDEX(CONFIG!$F$12:$F$15,MATCH($J30,CONFIG!$E$12:$E$15,0)),0))</f>
        <v/>
      </c>
      <c r="O30" s="125">
        <f>IF($K30&lt;&gt;"Vendido",0,IF($M30="",0,$M30*$N30))</f>
        <v/>
      </c>
      <c r="P30" s="123" t="n"/>
      <c r="Q30" s="121" t="n"/>
      <c r="R30" s="126">
        <f>IF($K30&lt;&gt;"Vendido",0,$M30-$O30+$P30-$Q30)</f>
        <v/>
      </c>
      <c r="S30" s="127">
        <f>IF($A30="","",IF($K30&lt;&gt;"Vendido",0,$R30-$H30))</f>
        <v/>
      </c>
      <c r="T30" s="128">
        <f>IFERROR($S30/$R30,0)</f>
        <v/>
      </c>
      <c r="U30" s="129">
        <f>IF($B30="","",MAX(0,IF($L30&lt;&gt;"",$L30-$B30,CONFIG!$C$6-$B30)))</f>
        <v/>
      </c>
    </row>
    <row r="31" ht="15" customHeight="1" s="79">
      <c r="A31" s="98" t="n"/>
      <c r="B31" s="118" t="n"/>
      <c r="C31" s="119" t="n"/>
      <c r="D31" s="119" t="n"/>
      <c r="E31" s="119" t="n"/>
      <c r="F31" s="120" t="n"/>
      <c r="G31" s="121" t="n"/>
      <c r="H31" s="122">
        <f>IF($A31="","",$E31*$F31+$G31)</f>
        <v/>
      </c>
      <c r="I31" s="123" t="n"/>
      <c r="J31" s="119" t="n"/>
      <c r="K31" s="119" t="n"/>
      <c r="L31" s="118" t="n"/>
      <c r="M31" s="121" t="n"/>
      <c r="N31" s="124">
        <f>IF($J31="","",IFERROR(INDEX(CONFIG!$F$12:$F$15,MATCH($J31,CONFIG!$E$12:$E$15,0)),0))</f>
        <v/>
      </c>
      <c r="O31" s="125">
        <f>IF($K31&lt;&gt;"Vendido",0,IF($M31="",0,$M31*$N31))</f>
        <v/>
      </c>
      <c r="P31" s="123" t="n"/>
      <c r="Q31" s="121" t="n"/>
      <c r="R31" s="126">
        <f>IF($K31&lt;&gt;"Vendido",0,$M31-$O31+$P31-$Q31)</f>
        <v/>
      </c>
      <c r="S31" s="127">
        <f>IF($A31="","",IF($K31&lt;&gt;"Vendido",0,$R31-$H31))</f>
        <v/>
      </c>
      <c r="T31" s="128">
        <f>IFERROR($S31/$R31,0)</f>
        <v/>
      </c>
      <c r="U31" s="129">
        <f>IF($B31="","",MAX(0,IF($L31&lt;&gt;"",$L31-$B31,CONFIG!$C$6-$B31)))</f>
        <v/>
      </c>
    </row>
    <row r="32" ht="15" customHeight="1" s="79">
      <c r="A32" s="98" t="n"/>
      <c r="B32" s="118" t="n"/>
      <c r="C32" s="119" t="n"/>
      <c r="D32" s="119" t="n"/>
      <c r="E32" s="119" t="n"/>
      <c r="F32" s="120" t="n"/>
      <c r="G32" s="121" t="n"/>
      <c r="H32" s="122">
        <f>IF($A32="","",$E32*$F32+$G32)</f>
        <v/>
      </c>
      <c r="I32" s="123" t="n"/>
      <c r="J32" s="119" t="n"/>
      <c r="K32" s="119" t="n"/>
      <c r="L32" s="118" t="n"/>
      <c r="M32" s="121" t="n"/>
      <c r="N32" s="124">
        <f>IF($J32="","",IFERROR(INDEX(CONFIG!$F$12:$F$15,MATCH($J32,CONFIG!$E$12:$E$15,0)),0))</f>
        <v/>
      </c>
      <c r="O32" s="125">
        <f>IF($K32&lt;&gt;"Vendido",0,IF($M32="",0,$M32*$N32))</f>
        <v/>
      </c>
      <c r="P32" s="123" t="n"/>
      <c r="Q32" s="121" t="n"/>
      <c r="R32" s="126">
        <f>IF($K32&lt;&gt;"Vendido",0,$M32-$O32+$P32-$Q32)</f>
        <v/>
      </c>
      <c r="S32" s="127">
        <f>IF($A32="","",IF($K32&lt;&gt;"Vendido",0,$R32-$H32))</f>
        <v/>
      </c>
      <c r="T32" s="128">
        <f>IFERROR($S32/$R32,0)</f>
        <v/>
      </c>
      <c r="U32" s="129">
        <f>IF($B32="","",MAX(0,IF($L32&lt;&gt;"",$L32-$B32,CONFIG!$C$6-$B32)))</f>
        <v/>
      </c>
    </row>
    <row r="33" ht="15" customHeight="1" s="79">
      <c r="A33" s="98" t="n"/>
      <c r="B33" s="118" t="n"/>
      <c r="C33" s="119" t="n"/>
      <c r="D33" s="119" t="n"/>
      <c r="E33" s="119" t="n"/>
      <c r="F33" s="120" t="n"/>
      <c r="G33" s="121" t="n"/>
      <c r="H33" s="122">
        <f>IF($A33="","",$E33*$F33+$G33)</f>
        <v/>
      </c>
      <c r="I33" s="123" t="n"/>
      <c r="J33" s="119" t="n"/>
      <c r="K33" s="119" t="n"/>
      <c r="L33" s="118" t="n"/>
      <c r="M33" s="121" t="n"/>
      <c r="N33" s="124">
        <f>IF($J33="","",IFERROR(INDEX(CONFIG!$F$12:$F$15,MATCH($J33,CONFIG!$E$12:$E$15,0)),0))</f>
        <v/>
      </c>
      <c r="O33" s="125">
        <f>IF($K33&lt;&gt;"Vendido",0,IF($M33="",0,$M33*$N33))</f>
        <v/>
      </c>
      <c r="P33" s="123" t="n"/>
      <c r="Q33" s="121" t="n"/>
      <c r="R33" s="126">
        <f>IF($K33&lt;&gt;"Vendido",0,$M33-$O33+$P33-$Q33)</f>
        <v/>
      </c>
      <c r="S33" s="127">
        <f>IF($A33="","",IF($K33&lt;&gt;"Vendido",0,$R33-$H33))</f>
        <v/>
      </c>
      <c r="T33" s="128">
        <f>IFERROR($S33/$R33,0)</f>
        <v/>
      </c>
      <c r="U33" s="129">
        <f>IF($B33="","",MAX(0,IF($L33&lt;&gt;"",$L33-$B33,CONFIG!$C$6-$B33)))</f>
        <v/>
      </c>
    </row>
    <row r="34" ht="15" customHeight="1" s="79">
      <c r="A34" s="98" t="n"/>
      <c r="B34" s="118" t="n"/>
      <c r="C34" s="119" t="n"/>
      <c r="D34" s="119" t="n"/>
      <c r="E34" s="119" t="n"/>
      <c r="F34" s="120" t="n"/>
      <c r="G34" s="121" t="n"/>
      <c r="H34" s="122">
        <f>IF($A34="","",$E34*$F34+$G34)</f>
        <v/>
      </c>
      <c r="I34" s="123" t="n"/>
      <c r="J34" s="119" t="n"/>
      <c r="K34" s="119" t="n"/>
      <c r="L34" s="118" t="n"/>
      <c r="M34" s="121" t="n"/>
      <c r="N34" s="124">
        <f>IF($J34="","",IFERROR(INDEX(CONFIG!$F$12:$F$15,MATCH($J34,CONFIG!$E$12:$E$15,0)),0))</f>
        <v/>
      </c>
      <c r="O34" s="125">
        <f>IF($K34&lt;&gt;"Vendido",0,IF($M34="",0,$M34*$N34))</f>
        <v/>
      </c>
      <c r="P34" s="123" t="n"/>
      <c r="Q34" s="121" t="n"/>
      <c r="R34" s="126">
        <f>IF($K34&lt;&gt;"Vendido",0,$M34-$O34+$P34-$Q34)</f>
        <v/>
      </c>
      <c r="S34" s="127">
        <f>IF($A34="","",IF($K34&lt;&gt;"Vendido",0,$R34-$H34))</f>
        <v/>
      </c>
      <c r="T34" s="128">
        <f>IFERROR($S34/$R34,0)</f>
        <v/>
      </c>
      <c r="U34" s="129">
        <f>IF($B34="","",MAX(0,IF($L34&lt;&gt;"",$L34-$B34,CONFIG!$C$6-$B34)))</f>
        <v/>
      </c>
    </row>
    <row r="35" ht="15" customHeight="1" s="79">
      <c r="A35" s="98" t="n"/>
      <c r="B35" s="118" t="n"/>
      <c r="C35" s="119" t="n"/>
      <c r="D35" s="119" t="n"/>
      <c r="E35" s="119" t="n"/>
      <c r="F35" s="120" t="n"/>
      <c r="G35" s="121" t="n"/>
      <c r="H35" s="122">
        <f>IF($A35="","",$E35*$F35+$G35)</f>
        <v/>
      </c>
      <c r="I35" s="123" t="n"/>
      <c r="J35" s="119" t="n"/>
      <c r="K35" s="119" t="n"/>
      <c r="L35" s="118" t="n"/>
      <c r="M35" s="121" t="n"/>
      <c r="N35" s="124">
        <f>IF($J35="","",IFERROR(INDEX(CONFIG!$F$12:$F$15,MATCH($J35,CONFIG!$E$12:$E$15,0)),0))</f>
        <v/>
      </c>
      <c r="O35" s="125">
        <f>IF($K35&lt;&gt;"Vendido",0,IF($M35="",0,$M35*$N35))</f>
        <v/>
      </c>
      <c r="P35" s="123" t="n"/>
      <c r="Q35" s="121" t="n"/>
      <c r="R35" s="126">
        <f>IF($K35&lt;&gt;"Vendido",0,$M35-$O35+$P35-$Q35)</f>
        <v/>
      </c>
      <c r="S35" s="127">
        <f>IF($A35="","",IF($K35&lt;&gt;"Vendido",0,$R35-$H35))</f>
        <v/>
      </c>
      <c r="T35" s="128">
        <f>IFERROR($S35/$R35,0)</f>
        <v/>
      </c>
      <c r="U35" s="129">
        <f>IF($B35="","",MAX(0,IF($L35&lt;&gt;"",$L35-$B35,CONFIG!$C$6-$B35)))</f>
        <v/>
      </c>
    </row>
    <row r="36" ht="15" customHeight="1" s="79">
      <c r="A36" s="98" t="n"/>
      <c r="B36" s="118" t="n"/>
      <c r="C36" s="119" t="n"/>
      <c r="D36" s="119" t="n"/>
      <c r="E36" s="119" t="n"/>
      <c r="F36" s="120" t="n"/>
      <c r="G36" s="121" t="n"/>
      <c r="H36" s="122">
        <f>IF($A36="","",$E36*$F36+$G36)</f>
        <v/>
      </c>
      <c r="I36" s="123" t="n"/>
      <c r="J36" s="119" t="n"/>
      <c r="K36" s="119" t="n"/>
      <c r="L36" s="118" t="n"/>
      <c r="M36" s="121" t="n"/>
      <c r="N36" s="124">
        <f>IF($J36="","",IFERROR(INDEX(CONFIG!$F$12:$F$15,MATCH($J36,CONFIG!$E$12:$E$15,0)),0))</f>
        <v/>
      </c>
      <c r="O36" s="125">
        <f>IF($K36&lt;&gt;"Vendido",0,IF($M36="",0,$M36*$N36))</f>
        <v/>
      </c>
      <c r="P36" s="123" t="n"/>
      <c r="Q36" s="121" t="n"/>
      <c r="R36" s="126">
        <f>IF($K36&lt;&gt;"Vendido",0,$M36-$O36+$P36-$Q36)</f>
        <v/>
      </c>
      <c r="S36" s="127">
        <f>IF($A36="","",IF($K36&lt;&gt;"Vendido",0,$R36-$H36))</f>
        <v/>
      </c>
      <c r="T36" s="128">
        <f>IFERROR($S36/$R36,0)</f>
        <v/>
      </c>
      <c r="U36" s="129">
        <f>IF($B36="","",MAX(0,IF($L36&lt;&gt;"",$L36-$B36,CONFIG!$C$6-$B36)))</f>
        <v/>
      </c>
    </row>
    <row r="37" ht="15" customHeight="1" s="79">
      <c r="A37" s="98" t="n"/>
      <c r="B37" s="118" t="n"/>
      <c r="C37" s="119" t="n"/>
      <c r="D37" s="119" t="n"/>
      <c r="E37" s="119" t="n"/>
      <c r="F37" s="120" t="n"/>
      <c r="G37" s="121" t="n"/>
      <c r="H37" s="122">
        <f>IF($A37="","",$E37*$F37+$G37)</f>
        <v/>
      </c>
      <c r="I37" s="123" t="n"/>
      <c r="J37" s="119" t="n"/>
      <c r="K37" s="119" t="n"/>
      <c r="L37" s="118" t="n"/>
      <c r="M37" s="121" t="n"/>
      <c r="N37" s="124">
        <f>IF($J37="","",IFERROR(INDEX(CONFIG!$F$12:$F$15,MATCH($J37,CONFIG!$E$12:$E$15,0)),0))</f>
        <v/>
      </c>
      <c r="O37" s="125">
        <f>IF($K37&lt;&gt;"Vendido",0,IF($M37="",0,$M37*$N37))</f>
        <v/>
      </c>
      <c r="P37" s="123" t="n"/>
      <c r="Q37" s="121" t="n"/>
      <c r="R37" s="126">
        <f>IF($K37&lt;&gt;"Vendido",0,$M37-$O37+$P37-$Q37)</f>
        <v/>
      </c>
      <c r="S37" s="127">
        <f>IF($A37="","",IF($K37&lt;&gt;"Vendido",0,$R37-$H37))</f>
        <v/>
      </c>
      <c r="T37" s="128">
        <f>IFERROR($S37/$R37,0)</f>
        <v/>
      </c>
      <c r="U37" s="129">
        <f>IF($B37="","",MAX(0,IF($L37&lt;&gt;"",$L37-$B37,CONFIG!$C$6-$B37)))</f>
        <v/>
      </c>
    </row>
    <row r="38" ht="15" customHeight="1" s="79">
      <c r="A38" s="98" t="n"/>
      <c r="B38" s="118" t="n"/>
      <c r="C38" s="119" t="n"/>
      <c r="D38" s="119" t="n"/>
      <c r="E38" s="119" t="n"/>
      <c r="F38" s="120" t="n"/>
      <c r="G38" s="121" t="n"/>
      <c r="H38" s="122">
        <f>IF($A38="","",$E38*$F38+$G38)</f>
        <v/>
      </c>
      <c r="I38" s="123" t="n"/>
      <c r="J38" s="119" t="n"/>
      <c r="K38" s="119" t="n"/>
      <c r="L38" s="118" t="n"/>
      <c r="M38" s="121" t="n"/>
      <c r="N38" s="124">
        <f>IF($J38="","",IFERROR(INDEX(CONFIG!$F$12:$F$15,MATCH($J38,CONFIG!$E$12:$E$15,0)),0))</f>
        <v/>
      </c>
      <c r="O38" s="125">
        <f>IF($K38&lt;&gt;"Vendido",0,IF($M38="",0,$M38*$N38))</f>
        <v/>
      </c>
      <c r="P38" s="123" t="n"/>
      <c r="Q38" s="121" t="n"/>
      <c r="R38" s="126">
        <f>IF($K38&lt;&gt;"Vendido",0,$M38-$O38+$P38-$Q38)</f>
        <v/>
      </c>
      <c r="S38" s="127">
        <f>IF($A38="","",IF($K38&lt;&gt;"Vendido",0,$R38-$H38))</f>
        <v/>
      </c>
      <c r="T38" s="128">
        <f>IFERROR($S38/$R38,0)</f>
        <v/>
      </c>
      <c r="U38" s="129">
        <f>IF($B38="","",MAX(0,IF($L38&lt;&gt;"",$L38-$B38,CONFIG!$C$6-$B38)))</f>
        <v/>
      </c>
    </row>
    <row r="39" ht="15" customHeight="1" s="79">
      <c r="A39" s="98" t="n"/>
      <c r="B39" s="118" t="n"/>
      <c r="C39" s="119" t="n"/>
      <c r="D39" s="119" t="n"/>
      <c r="E39" s="119" t="n"/>
      <c r="F39" s="120" t="n"/>
      <c r="G39" s="121" t="n"/>
      <c r="H39" s="122">
        <f>IF($A39="","",$E39*$F39+$G39)</f>
        <v/>
      </c>
      <c r="I39" s="123" t="n"/>
      <c r="J39" s="119" t="n"/>
      <c r="K39" s="119" t="n"/>
      <c r="L39" s="118" t="n"/>
      <c r="M39" s="121" t="n"/>
      <c r="N39" s="124">
        <f>IF($J39="","",IFERROR(INDEX(CONFIG!$F$12:$F$15,MATCH($J39,CONFIG!$E$12:$E$15,0)),0))</f>
        <v/>
      </c>
      <c r="O39" s="125">
        <f>IF($K39&lt;&gt;"Vendido",0,IF($M39="",0,$M39*$N39))</f>
        <v/>
      </c>
      <c r="P39" s="123" t="n"/>
      <c r="Q39" s="121" t="n"/>
      <c r="R39" s="126">
        <f>IF($K39&lt;&gt;"Vendido",0,$M39-$O39+$P39-$Q39)</f>
        <v/>
      </c>
      <c r="S39" s="127">
        <f>IF($A39="","",IF($K39&lt;&gt;"Vendido",0,$R39-$H39))</f>
        <v/>
      </c>
      <c r="T39" s="128">
        <f>IFERROR($S39/$R39,0)</f>
        <v/>
      </c>
      <c r="U39" s="129">
        <f>IF($B39="","",MAX(0,IF($L39&lt;&gt;"",$L39-$B39,CONFIG!$C$6-$B39)))</f>
        <v/>
      </c>
    </row>
    <row r="40" ht="15" customHeight="1" s="79">
      <c r="A40" s="98" t="n"/>
      <c r="B40" s="118" t="n"/>
      <c r="C40" s="119" t="n"/>
      <c r="D40" s="119" t="n"/>
      <c r="E40" s="119" t="n"/>
      <c r="F40" s="120" t="n"/>
      <c r="G40" s="121" t="n"/>
      <c r="H40" s="122">
        <f>IF($A40="","",$E40*$F40+$G40)</f>
        <v/>
      </c>
      <c r="I40" s="123" t="n"/>
      <c r="J40" s="119" t="n"/>
      <c r="K40" s="119" t="n"/>
      <c r="L40" s="118" t="n"/>
      <c r="M40" s="121" t="n"/>
      <c r="N40" s="124">
        <f>IF($J40="","",IFERROR(INDEX(CONFIG!$F$12:$F$15,MATCH($J40,CONFIG!$E$12:$E$15,0)),0))</f>
        <v/>
      </c>
      <c r="O40" s="125">
        <f>IF($K40&lt;&gt;"Vendido",0,IF($M40="",0,$M40*$N40))</f>
        <v/>
      </c>
      <c r="P40" s="123" t="n"/>
      <c r="Q40" s="121" t="n"/>
      <c r="R40" s="126">
        <f>IF($K40&lt;&gt;"Vendido",0,$M40-$O40+$P40-$Q40)</f>
        <v/>
      </c>
      <c r="S40" s="127">
        <f>IF($A40="","",IF($K40&lt;&gt;"Vendido",0,$R40-$H40))</f>
        <v/>
      </c>
      <c r="T40" s="128">
        <f>IFERROR($S40/$R40,0)</f>
        <v/>
      </c>
      <c r="U40" s="129">
        <f>IF($B40="","",MAX(0,IF($L40&lt;&gt;"",$L40-$B40,CONFIG!$C$6-$B40)))</f>
        <v/>
      </c>
    </row>
    <row r="41" ht="15" customHeight="1" s="79">
      <c r="A41" s="98" t="n"/>
      <c r="B41" s="118" t="n"/>
      <c r="C41" s="119" t="n"/>
      <c r="D41" s="119" t="n"/>
      <c r="E41" s="119" t="n"/>
      <c r="F41" s="120" t="n"/>
      <c r="G41" s="121" t="n"/>
      <c r="H41" s="122">
        <f>IF($A41="","",$E41*$F41+$G41)</f>
        <v/>
      </c>
      <c r="I41" s="123" t="n"/>
      <c r="J41" s="119" t="n"/>
      <c r="K41" s="119" t="n"/>
      <c r="L41" s="118" t="n"/>
      <c r="M41" s="121" t="n"/>
      <c r="N41" s="124">
        <f>IF($J41="","",IFERROR(INDEX(CONFIG!$F$12:$F$15,MATCH($J41,CONFIG!$E$12:$E$15,0)),0))</f>
        <v/>
      </c>
      <c r="O41" s="125">
        <f>IF($K41&lt;&gt;"Vendido",0,IF($M41="",0,$M41*$N41))</f>
        <v/>
      </c>
      <c r="P41" s="123" t="n"/>
      <c r="Q41" s="121" t="n"/>
      <c r="R41" s="126">
        <f>IF($K41&lt;&gt;"Vendido",0,$M41-$O41+$P41-$Q41)</f>
        <v/>
      </c>
      <c r="S41" s="127">
        <f>IF($A41="","",IF($K41&lt;&gt;"Vendido",0,$R41-$H41))</f>
        <v/>
      </c>
      <c r="T41" s="128">
        <f>IFERROR($S41/$R41,0)</f>
        <v/>
      </c>
      <c r="U41" s="129">
        <f>IF($B41="","",MAX(0,IF($L41&lt;&gt;"",$L41-$B41,CONFIG!$C$6-$B41)))</f>
        <v/>
      </c>
    </row>
    <row r="42" ht="15" customHeight="1" s="79">
      <c r="A42" s="98" t="n"/>
      <c r="B42" s="118" t="n"/>
      <c r="C42" s="119" t="n"/>
      <c r="D42" s="119" t="n"/>
      <c r="E42" s="119" t="n"/>
      <c r="F42" s="120" t="n"/>
      <c r="G42" s="121" t="n"/>
      <c r="H42" s="122">
        <f>IF($A42="","",$E42*$F42+$G42)</f>
        <v/>
      </c>
      <c r="I42" s="123" t="n"/>
      <c r="J42" s="119" t="n"/>
      <c r="K42" s="119" t="n"/>
      <c r="L42" s="118" t="n"/>
      <c r="M42" s="121" t="n"/>
      <c r="N42" s="124">
        <f>IF($J42="","",IFERROR(INDEX(CONFIG!$F$12:$F$15,MATCH($J42,CONFIG!$E$12:$E$15,0)),0))</f>
        <v/>
      </c>
      <c r="O42" s="125">
        <f>IF($K42&lt;&gt;"Vendido",0,IF($M42="",0,$M42*$N42))</f>
        <v/>
      </c>
      <c r="P42" s="123" t="n"/>
      <c r="Q42" s="121" t="n"/>
      <c r="R42" s="126">
        <f>IF($K42&lt;&gt;"Vendido",0,$M42-$O42+$P42-$Q42)</f>
        <v/>
      </c>
      <c r="S42" s="127">
        <f>IF($A42="","",IF($K42&lt;&gt;"Vendido",0,$R42-$H42))</f>
        <v/>
      </c>
      <c r="T42" s="128">
        <f>IFERROR($S42/$R42,0)</f>
        <v/>
      </c>
      <c r="U42" s="129">
        <f>IF($B42="","",MAX(0,IF($L42&lt;&gt;"",$L42-$B42,CONFIG!$C$6-$B42)))</f>
        <v/>
      </c>
    </row>
    <row r="43" ht="15" customHeight="1" s="79">
      <c r="A43" s="98" t="n"/>
      <c r="B43" s="118" t="n"/>
      <c r="C43" s="119" t="n"/>
      <c r="D43" s="119" t="n"/>
      <c r="E43" s="119" t="n"/>
      <c r="F43" s="120" t="n"/>
      <c r="G43" s="121" t="n"/>
      <c r="H43" s="122">
        <f>IF($A43="","",$E43*$F43+$G43)</f>
        <v/>
      </c>
      <c r="I43" s="123" t="n"/>
      <c r="J43" s="119" t="n"/>
      <c r="K43" s="119" t="n"/>
      <c r="L43" s="118" t="n"/>
      <c r="M43" s="121" t="n"/>
      <c r="N43" s="124">
        <f>IF($J43="","",IFERROR(INDEX(CONFIG!$F$12:$F$15,MATCH($J43,CONFIG!$E$12:$E$15,0)),0))</f>
        <v/>
      </c>
      <c r="O43" s="125">
        <f>IF($K43&lt;&gt;"Vendido",0,IF($M43="",0,$M43*$N43))</f>
        <v/>
      </c>
      <c r="P43" s="123" t="n"/>
      <c r="Q43" s="121" t="n"/>
      <c r="R43" s="126">
        <f>IF($K43&lt;&gt;"Vendido",0,$M43-$O43+$P43-$Q43)</f>
        <v/>
      </c>
      <c r="S43" s="127">
        <f>IF($A43="","",IF($K43&lt;&gt;"Vendido",0,$R43-$H43))</f>
        <v/>
      </c>
      <c r="T43" s="128">
        <f>IFERROR($S43/$R43,0)</f>
        <v/>
      </c>
      <c r="U43" s="129">
        <f>IF($B43="","",MAX(0,IF($L43&lt;&gt;"",$L43-$B43,CONFIG!$C$6-$B43)))</f>
        <v/>
      </c>
    </row>
    <row r="44" ht="15" customHeight="1" s="79">
      <c r="A44" s="98" t="n"/>
      <c r="B44" s="118" t="n"/>
      <c r="C44" s="119" t="n"/>
      <c r="D44" s="119" t="n"/>
      <c r="E44" s="119" t="n"/>
      <c r="F44" s="120" t="n"/>
      <c r="G44" s="121" t="n"/>
      <c r="H44" s="122">
        <f>IF($A44="","",$E44*$F44+$G44)</f>
        <v/>
      </c>
      <c r="I44" s="123" t="n"/>
      <c r="J44" s="119" t="n"/>
      <c r="K44" s="119" t="n"/>
      <c r="L44" s="118" t="n"/>
      <c r="M44" s="121" t="n"/>
      <c r="N44" s="124">
        <f>IF($J44="","",IFERROR(INDEX(CONFIG!$F$12:$F$15,MATCH($J44,CONFIG!$E$12:$E$15,0)),0))</f>
        <v/>
      </c>
      <c r="O44" s="125">
        <f>IF($K44&lt;&gt;"Vendido",0,IF($M44="",0,$M44*$N44))</f>
        <v/>
      </c>
      <c r="P44" s="123" t="n"/>
      <c r="Q44" s="121" t="n"/>
      <c r="R44" s="126">
        <f>IF($K44&lt;&gt;"Vendido",0,$M44-$O44+$P44-$Q44)</f>
        <v/>
      </c>
      <c r="S44" s="127">
        <f>IF($A44="","",IF($K44&lt;&gt;"Vendido",0,$R44-$H44))</f>
        <v/>
      </c>
      <c r="T44" s="128">
        <f>IFERROR($S44/$R44,0)</f>
        <v/>
      </c>
      <c r="U44" s="129">
        <f>IF($B44="","",MAX(0,IF($L44&lt;&gt;"",$L44-$B44,CONFIG!$C$6-$B44)))</f>
        <v/>
      </c>
    </row>
    <row r="45" ht="15" customHeight="1" s="79">
      <c r="A45" s="98" t="n"/>
      <c r="B45" s="118" t="n"/>
      <c r="C45" s="119" t="n"/>
      <c r="D45" s="119" t="n"/>
      <c r="E45" s="119" t="n"/>
      <c r="F45" s="120" t="n"/>
      <c r="G45" s="121" t="n"/>
      <c r="H45" s="122">
        <f>IF($A45="","",$E45*$F45+$G45)</f>
        <v/>
      </c>
      <c r="I45" s="123" t="n"/>
      <c r="J45" s="119" t="n"/>
      <c r="K45" s="119" t="n"/>
      <c r="L45" s="118" t="n"/>
      <c r="M45" s="121" t="n"/>
      <c r="N45" s="124">
        <f>IF($J45="","",IFERROR(INDEX(CONFIG!$F$12:$F$15,MATCH($J45,CONFIG!$E$12:$E$15,0)),0))</f>
        <v/>
      </c>
      <c r="O45" s="125">
        <f>IF($K45&lt;&gt;"Vendido",0,IF($M45="",0,$M45*$N45))</f>
        <v/>
      </c>
      <c r="P45" s="123" t="n"/>
      <c r="Q45" s="121" t="n"/>
      <c r="R45" s="126">
        <f>IF($K45&lt;&gt;"Vendido",0,$M45-$O45+$P45-$Q45)</f>
        <v/>
      </c>
      <c r="S45" s="127">
        <f>IF($A45="","",IF($K45&lt;&gt;"Vendido",0,$R45-$H45))</f>
        <v/>
      </c>
      <c r="T45" s="128">
        <f>IFERROR($S45/$R45,0)</f>
        <v/>
      </c>
      <c r="U45" s="129">
        <f>IF($B45="","",MAX(0,IF($L45&lt;&gt;"",$L45-$B45,CONFIG!$C$6-$B45)))</f>
        <v/>
      </c>
    </row>
    <row r="46" ht="15" customHeight="1" s="79">
      <c r="A46" s="98" t="n"/>
      <c r="B46" s="118" t="n"/>
      <c r="C46" s="119" t="n"/>
      <c r="D46" s="119" t="n"/>
      <c r="E46" s="119" t="n"/>
      <c r="F46" s="120" t="n"/>
      <c r="G46" s="121" t="n"/>
      <c r="H46" s="122">
        <f>IF($A46="","",$E46*$F46+$G46)</f>
        <v/>
      </c>
      <c r="I46" s="123" t="n"/>
      <c r="J46" s="119" t="n"/>
      <c r="K46" s="119" t="n"/>
      <c r="L46" s="118" t="n"/>
      <c r="M46" s="121" t="n"/>
      <c r="N46" s="124">
        <f>IF($J46="","",IFERROR(INDEX(CONFIG!$F$12:$F$15,MATCH($J46,CONFIG!$E$12:$E$15,0)),0))</f>
        <v/>
      </c>
      <c r="O46" s="125">
        <f>IF($K46&lt;&gt;"Vendido",0,IF($M46="",0,$M46*$N46))</f>
        <v/>
      </c>
      <c r="P46" s="123" t="n"/>
      <c r="Q46" s="121" t="n"/>
      <c r="R46" s="126">
        <f>IF($K46&lt;&gt;"Vendido",0,$M46-$O46+$P46-$Q46)</f>
        <v/>
      </c>
      <c r="S46" s="127">
        <f>IF($A46="","",IF($K46&lt;&gt;"Vendido",0,$R46-$H46))</f>
        <v/>
      </c>
      <c r="T46" s="128">
        <f>IFERROR($S46/$R46,0)</f>
        <v/>
      </c>
      <c r="U46" s="129">
        <f>IF($B46="","",MAX(0,IF($L46&lt;&gt;"",$L46-$B46,CONFIG!$C$6-$B46)))</f>
        <v/>
      </c>
    </row>
    <row r="47" ht="15" customHeight="1" s="79">
      <c r="A47" s="98" t="n"/>
      <c r="B47" s="118" t="n"/>
      <c r="C47" s="119" t="n"/>
      <c r="D47" s="119" t="n"/>
      <c r="E47" s="119" t="n"/>
      <c r="F47" s="120" t="n"/>
      <c r="G47" s="121" t="n"/>
      <c r="H47" s="122">
        <f>IF($A47="","",$E47*$F47+$G47)</f>
        <v/>
      </c>
      <c r="I47" s="123" t="n"/>
      <c r="J47" s="119" t="n"/>
      <c r="K47" s="119" t="n"/>
      <c r="L47" s="118" t="n"/>
      <c r="M47" s="121" t="n"/>
      <c r="N47" s="124">
        <f>IF($J47="","",IFERROR(INDEX(CONFIG!$F$12:$F$15,MATCH($J47,CONFIG!$E$12:$E$15,0)),0))</f>
        <v/>
      </c>
      <c r="O47" s="125">
        <f>IF($K47&lt;&gt;"Vendido",0,IF($M47="",0,$M47*$N47))</f>
        <v/>
      </c>
      <c r="P47" s="123" t="n"/>
      <c r="Q47" s="121" t="n"/>
      <c r="R47" s="126">
        <f>IF($K47&lt;&gt;"Vendido",0,$M47-$O47+$P47-$Q47)</f>
        <v/>
      </c>
      <c r="S47" s="127">
        <f>IF($A47="","",IF($K47&lt;&gt;"Vendido",0,$R47-$H47))</f>
        <v/>
      </c>
      <c r="T47" s="128">
        <f>IFERROR($S47/$R47,0)</f>
        <v/>
      </c>
      <c r="U47" s="129">
        <f>IF($B47="","",MAX(0,IF($L47&lt;&gt;"",$L47-$B47,CONFIG!$C$6-$B47)))</f>
        <v/>
      </c>
    </row>
    <row r="48" ht="15" customHeight="1" s="79">
      <c r="A48" s="98" t="n"/>
      <c r="B48" s="118" t="n"/>
      <c r="C48" s="119" t="n"/>
      <c r="D48" s="119" t="n"/>
      <c r="E48" s="119" t="n"/>
      <c r="F48" s="120" t="n"/>
      <c r="G48" s="121" t="n"/>
      <c r="H48" s="122">
        <f>IF($A48="","",$E48*$F48+$G48)</f>
        <v/>
      </c>
      <c r="I48" s="123" t="n"/>
      <c r="J48" s="119" t="n"/>
      <c r="K48" s="119" t="n"/>
      <c r="L48" s="118" t="n"/>
      <c r="M48" s="121" t="n"/>
      <c r="N48" s="124">
        <f>IF($J48="","",IFERROR(INDEX(CONFIG!$F$12:$F$15,MATCH($J48,CONFIG!$E$12:$E$15,0)),0))</f>
        <v/>
      </c>
      <c r="O48" s="125">
        <f>IF($K48&lt;&gt;"Vendido",0,IF($M48="",0,$M48*$N48))</f>
        <v/>
      </c>
      <c r="P48" s="123" t="n"/>
      <c r="Q48" s="121" t="n"/>
      <c r="R48" s="126">
        <f>IF($K48&lt;&gt;"Vendido",0,$M48-$O48+$P48-$Q48)</f>
        <v/>
      </c>
      <c r="S48" s="127">
        <f>IF($A48="","",IF($K48&lt;&gt;"Vendido",0,$R48-$H48))</f>
        <v/>
      </c>
      <c r="T48" s="128">
        <f>IFERROR($S48/$R48,0)</f>
        <v/>
      </c>
      <c r="U48" s="129">
        <f>IF($B48="","",MAX(0,IF($L48&lt;&gt;"",$L48-$B48,CONFIG!$C$6-$B48)))</f>
        <v/>
      </c>
    </row>
    <row r="49" ht="15" customHeight="1" s="79">
      <c r="A49" s="98" t="n"/>
      <c r="B49" s="118" t="n"/>
      <c r="C49" s="119" t="n"/>
      <c r="D49" s="119" t="n"/>
      <c r="E49" s="119" t="n"/>
      <c r="F49" s="120" t="n"/>
      <c r="G49" s="121" t="n"/>
      <c r="H49" s="122">
        <f>IF($A49="","",$E49*$F49+$G49)</f>
        <v/>
      </c>
      <c r="I49" s="123" t="n"/>
      <c r="J49" s="119" t="n"/>
      <c r="K49" s="119" t="n"/>
      <c r="L49" s="118" t="n"/>
      <c r="M49" s="121" t="n"/>
      <c r="N49" s="124">
        <f>IF($J49="","",IFERROR(INDEX(CONFIG!$F$12:$F$15,MATCH($J49,CONFIG!$E$12:$E$15,0)),0))</f>
        <v/>
      </c>
      <c r="O49" s="125">
        <f>IF($K49&lt;&gt;"Vendido",0,IF($M49="",0,$M49*$N49))</f>
        <v/>
      </c>
      <c r="P49" s="123" t="n"/>
      <c r="Q49" s="121" t="n"/>
      <c r="R49" s="126">
        <f>IF($K49&lt;&gt;"Vendido",0,$M49-$O49+$P49-$Q49)</f>
        <v/>
      </c>
      <c r="S49" s="127">
        <f>IF($A49="","",IF($K49&lt;&gt;"Vendido",0,$R49-$H49))</f>
        <v/>
      </c>
      <c r="T49" s="128">
        <f>IFERROR($S49/$R49,0)</f>
        <v/>
      </c>
      <c r="U49" s="129">
        <f>IF($B49="","",MAX(0,IF($L49&lt;&gt;"",$L49-$B49,CONFIG!$C$6-$B49)))</f>
        <v/>
      </c>
    </row>
    <row r="50" ht="15" customHeight="1" s="79">
      <c r="A50" s="98" t="n"/>
      <c r="B50" s="118" t="n"/>
      <c r="C50" s="119" t="n"/>
      <c r="D50" s="119" t="n"/>
      <c r="E50" s="119" t="n"/>
      <c r="F50" s="120" t="n"/>
      <c r="G50" s="121" t="n"/>
      <c r="H50" s="122">
        <f>IF($A50="","",$E50*$F50+$G50)</f>
        <v/>
      </c>
      <c r="I50" s="123" t="n"/>
      <c r="J50" s="119" t="n"/>
      <c r="K50" s="119" t="n"/>
      <c r="L50" s="118" t="n"/>
      <c r="M50" s="121" t="n"/>
      <c r="N50" s="124">
        <f>IF($J50="","",IFERROR(INDEX(CONFIG!$F$12:$F$15,MATCH($J50,CONFIG!$E$12:$E$15,0)),0))</f>
        <v/>
      </c>
      <c r="O50" s="125">
        <f>IF($K50&lt;&gt;"Vendido",0,IF($M50="",0,$M50*$N50))</f>
        <v/>
      </c>
      <c r="P50" s="123" t="n"/>
      <c r="Q50" s="121" t="n"/>
      <c r="R50" s="126">
        <f>IF($K50&lt;&gt;"Vendido",0,$M50-$O50+$P50-$Q50)</f>
        <v/>
      </c>
      <c r="S50" s="127">
        <f>IF($A50="","",IF($K50&lt;&gt;"Vendido",0,$R50-$H50))</f>
        <v/>
      </c>
      <c r="T50" s="128">
        <f>IFERROR($S50/$R50,0)</f>
        <v/>
      </c>
      <c r="U50" s="129">
        <f>IF($B50="","",MAX(0,IF($L50&lt;&gt;"",$L50-$B50,CONFIG!$C$6-$B50)))</f>
        <v/>
      </c>
    </row>
    <row r="51" ht="15" customHeight="1" s="79">
      <c r="A51" s="98" t="n"/>
      <c r="B51" s="118" t="n"/>
      <c r="C51" s="119" t="n"/>
      <c r="D51" s="119" t="n"/>
      <c r="E51" s="119" t="n"/>
      <c r="F51" s="120" t="n"/>
      <c r="G51" s="121" t="n"/>
      <c r="H51" s="122">
        <f>IF($A51="","",$E51*$F51+$G51)</f>
        <v/>
      </c>
      <c r="I51" s="123" t="n"/>
      <c r="J51" s="119" t="n"/>
      <c r="K51" s="119" t="n"/>
      <c r="L51" s="118" t="n"/>
      <c r="M51" s="121" t="n"/>
      <c r="N51" s="124">
        <f>IF($J51="","",IFERROR(INDEX(CONFIG!$F$12:$F$15,MATCH($J51,CONFIG!$E$12:$E$15,0)),0))</f>
        <v/>
      </c>
      <c r="O51" s="125">
        <f>IF($K51&lt;&gt;"Vendido",0,IF($M51="",0,$M51*$N51))</f>
        <v/>
      </c>
      <c r="P51" s="123" t="n"/>
      <c r="Q51" s="121" t="n"/>
      <c r="R51" s="126">
        <f>IF($K51&lt;&gt;"Vendido",0,$M51-$O51+$P51-$Q51)</f>
        <v/>
      </c>
      <c r="S51" s="127">
        <f>IF($A51="","",IF($K51&lt;&gt;"Vendido",0,$R51-$H51))</f>
        <v/>
      </c>
      <c r="T51" s="128">
        <f>IFERROR($S51/$R51,0)</f>
        <v/>
      </c>
      <c r="U51" s="129">
        <f>IF($B51="","",MAX(0,IF($L51&lt;&gt;"",$L51-$B51,CONFIG!$C$6-$B51)))</f>
        <v/>
      </c>
    </row>
    <row r="52" ht="15" customHeight="1" s="79">
      <c r="A52" s="98" t="n"/>
      <c r="B52" s="118" t="n"/>
      <c r="C52" s="119" t="n"/>
      <c r="D52" s="119" t="n"/>
      <c r="E52" s="119" t="n"/>
      <c r="F52" s="120" t="n"/>
      <c r="G52" s="121" t="n"/>
      <c r="H52" s="122">
        <f>IF($A52="","",$E52*$F52+$G52)</f>
        <v/>
      </c>
      <c r="I52" s="123" t="n"/>
      <c r="J52" s="119" t="n"/>
      <c r="K52" s="119" t="n"/>
      <c r="L52" s="118" t="n"/>
      <c r="M52" s="121" t="n"/>
      <c r="N52" s="124">
        <f>IF($J52="","",IFERROR(INDEX(CONFIG!$F$12:$F$15,MATCH($J52,CONFIG!$E$12:$E$15,0)),0))</f>
        <v/>
      </c>
      <c r="O52" s="125">
        <f>IF($K52&lt;&gt;"Vendido",0,IF($M52="",0,$M52*$N52))</f>
        <v/>
      </c>
      <c r="P52" s="123" t="n"/>
      <c r="Q52" s="121" t="n"/>
      <c r="R52" s="126">
        <f>IF($K52&lt;&gt;"Vendido",0,$M52-$O52+$P52-$Q52)</f>
        <v/>
      </c>
      <c r="S52" s="127">
        <f>IF($A52="","",IF($K52&lt;&gt;"Vendido",0,$R52-$H52))</f>
        <v/>
      </c>
      <c r="T52" s="128">
        <f>IFERROR($S52/$R52,0)</f>
        <v/>
      </c>
      <c r="U52" s="129">
        <f>IF($B52="","",MAX(0,IF($L52&lt;&gt;"",$L52-$B52,CONFIG!$C$6-$B52)))</f>
        <v/>
      </c>
    </row>
    <row r="53" ht="15" customHeight="1" s="79">
      <c r="A53" s="98" t="n"/>
      <c r="B53" s="118" t="n"/>
      <c r="C53" s="119" t="n"/>
      <c r="D53" s="119" t="n"/>
      <c r="E53" s="119" t="n"/>
      <c r="F53" s="120" t="n"/>
      <c r="G53" s="121" t="n"/>
      <c r="H53" s="122">
        <f>IF($A53="","",$E53*$F53+$G53)</f>
        <v/>
      </c>
      <c r="I53" s="123" t="n"/>
      <c r="J53" s="119" t="n"/>
      <c r="K53" s="119" t="n"/>
      <c r="L53" s="118" t="n"/>
      <c r="M53" s="121" t="n"/>
      <c r="N53" s="124">
        <f>IF($J53="","",IFERROR(INDEX(CONFIG!$F$12:$F$15,MATCH($J53,CONFIG!$E$12:$E$15,0)),0))</f>
        <v/>
      </c>
      <c r="O53" s="125">
        <f>IF($K53&lt;&gt;"Vendido",0,IF($M53="",0,$M53*$N53))</f>
        <v/>
      </c>
      <c r="P53" s="123" t="n"/>
      <c r="Q53" s="121" t="n"/>
      <c r="R53" s="126">
        <f>IF($K53&lt;&gt;"Vendido",0,$M53-$O53+$P53-$Q53)</f>
        <v/>
      </c>
      <c r="S53" s="127">
        <f>IF($A53="","",IF($K53&lt;&gt;"Vendido",0,$R53-$H53))</f>
        <v/>
      </c>
      <c r="T53" s="128">
        <f>IFERROR($S53/$R53,0)</f>
        <v/>
      </c>
      <c r="U53" s="129">
        <f>IF($B53="","",MAX(0,IF($L53&lt;&gt;"",$L53-$B53,CONFIG!$C$6-$B53)))</f>
        <v/>
      </c>
    </row>
    <row r="54" ht="15" customHeight="1" s="79">
      <c r="A54" s="98" t="n"/>
      <c r="B54" s="118" t="n"/>
      <c r="C54" s="119" t="n"/>
      <c r="D54" s="119" t="n"/>
      <c r="E54" s="119" t="n"/>
      <c r="F54" s="120" t="n"/>
      <c r="G54" s="121" t="n"/>
      <c r="H54" s="122">
        <f>IF($A54="","",$E54*$F54+$G54)</f>
        <v/>
      </c>
      <c r="I54" s="123" t="n"/>
      <c r="J54" s="119" t="n"/>
      <c r="K54" s="119" t="n"/>
      <c r="L54" s="118" t="n"/>
      <c r="M54" s="121" t="n"/>
      <c r="N54" s="124">
        <f>IF($J54="","",IFERROR(INDEX(CONFIG!$F$12:$F$15,MATCH($J54,CONFIG!$E$12:$E$15,0)),0))</f>
        <v/>
      </c>
      <c r="O54" s="125">
        <f>IF($K54&lt;&gt;"Vendido",0,IF($M54="",0,$M54*$N54))</f>
        <v/>
      </c>
      <c r="P54" s="123" t="n"/>
      <c r="Q54" s="121" t="n"/>
      <c r="R54" s="126">
        <f>IF($K54&lt;&gt;"Vendido",0,$M54-$O54+$P54-$Q54)</f>
        <v/>
      </c>
      <c r="S54" s="127">
        <f>IF($A54="","",IF($K54&lt;&gt;"Vendido",0,$R54-$H54))</f>
        <v/>
      </c>
      <c r="T54" s="128">
        <f>IFERROR($S54/$R54,0)</f>
        <v/>
      </c>
      <c r="U54" s="129">
        <f>IF($B54="","",MAX(0,IF($L54&lt;&gt;"",$L54-$B54,CONFIG!$C$6-$B54)))</f>
        <v/>
      </c>
    </row>
    <row r="55" ht="15" customHeight="1" s="79">
      <c r="A55" s="98" t="n"/>
      <c r="B55" s="118" t="n"/>
      <c r="C55" s="119" t="n"/>
      <c r="D55" s="119" t="n"/>
      <c r="E55" s="119" t="n"/>
      <c r="F55" s="120" t="n"/>
      <c r="G55" s="121" t="n"/>
      <c r="H55" s="122">
        <f>IF($A55="","",$E55*$F55+$G55)</f>
        <v/>
      </c>
      <c r="I55" s="123" t="n"/>
      <c r="J55" s="119" t="n"/>
      <c r="K55" s="119" t="n"/>
      <c r="L55" s="118" t="n"/>
      <c r="M55" s="121" t="n"/>
      <c r="N55" s="124">
        <f>IF($J55="","",IFERROR(INDEX(CONFIG!$F$12:$F$15,MATCH($J55,CONFIG!$E$12:$E$15,0)),0))</f>
        <v/>
      </c>
      <c r="O55" s="125">
        <f>IF($K55&lt;&gt;"Vendido",0,IF($M55="",0,$M55*$N55))</f>
        <v/>
      </c>
      <c r="P55" s="123" t="n"/>
      <c r="Q55" s="121" t="n"/>
      <c r="R55" s="126">
        <f>IF($K55&lt;&gt;"Vendido",0,$M55-$O55+$P55-$Q55)</f>
        <v/>
      </c>
      <c r="S55" s="127">
        <f>IF($A55="","",IF($K55&lt;&gt;"Vendido",0,$R55-$H55))</f>
        <v/>
      </c>
      <c r="T55" s="128">
        <f>IFERROR($S55/$R55,0)</f>
        <v/>
      </c>
      <c r="U55" s="129">
        <f>IF($B55="","",MAX(0,IF($L55&lt;&gt;"",$L55-$B55,CONFIG!$C$6-$B55)))</f>
        <v/>
      </c>
    </row>
    <row r="56" ht="15" customHeight="1" s="79">
      <c r="A56" s="98" t="n"/>
      <c r="B56" s="118" t="n"/>
      <c r="C56" s="119" t="n"/>
      <c r="D56" s="119" t="n"/>
      <c r="E56" s="119" t="n"/>
      <c r="F56" s="120" t="n"/>
      <c r="G56" s="121" t="n"/>
      <c r="H56" s="122">
        <f>IF($A56="","",$E56*$F56+$G56)</f>
        <v/>
      </c>
      <c r="I56" s="123" t="n"/>
      <c r="J56" s="119" t="n"/>
      <c r="K56" s="119" t="n"/>
      <c r="L56" s="118" t="n"/>
      <c r="M56" s="121" t="n"/>
      <c r="N56" s="124">
        <f>IF($J56="","",IFERROR(INDEX(CONFIG!$F$12:$F$15,MATCH($J56,CONFIG!$E$12:$E$15,0)),0))</f>
        <v/>
      </c>
      <c r="O56" s="125">
        <f>IF($K56&lt;&gt;"Vendido",0,IF($M56="",0,$M56*$N56))</f>
        <v/>
      </c>
      <c r="P56" s="123" t="n"/>
      <c r="Q56" s="121" t="n"/>
      <c r="R56" s="126">
        <f>IF($K56&lt;&gt;"Vendido",0,$M56-$O56+$P56-$Q56)</f>
        <v/>
      </c>
      <c r="S56" s="127">
        <f>IF($A56="","",IF($K56&lt;&gt;"Vendido",0,$R56-$H56))</f>
        <v/>
      </c>
      <c r="T56" s="128">
        <f>IFERROR($S56/$R56,0)</f>
        <v/>
      </c>
      <c r="U56" s="129">
        <f>IF($B56="","",MAX(0,IF($L56&lt;&gt;"",$L56-$B56,CONFIG!$C$6-$B56)))</f>
        <v/>
      </c>
    </row>
    <row r="57" ht="15" customHeight="1" s="79">
      <c r="A57" s="98" t="n"/>
      <c r="B57" s="118" t="n"/>
      <c r="C57" s="119" t="n"/>
      <c r="D57" s="119" t="n"/>
      <c r="E57" s="119" t="n"/>
      <c r="F57" s="120" t="n"/>
      <c r="G57" s="121" t="n"/>
      <c r="H57" s="122">
        <f>IF($A57="","",$E57*$F57+$G57)</f>
        <v/>
      </c>
      <c r="I57" s="123" t="n"/>
      <c r="J57" s="119" t="n"/>
      <c r="K57" s="119" t="n"/>
      <c r="L57" s="118" t="n"/>
      <c r="M57" s="121" t="n"/>
      <c r="N57" s="124">
        <f>IF($J57="","",IFERROR(INDEX(CONFIG!$F$12:$F$15,MATCH($J57,CONFIG!$E$12:$E$15,0)),0))</f>
        <v/>
      </c>
      <c r="O57" s="125">
        <f>IF($K57&lt;&gt;"Vendido",0,IF($M57="",0,$M57*$N57))</f>
        <v/>
      </c>
      <c r="P57" s="123" t="n"/>
      <c r="Q57" s="121" t="n"/>
      <c r="R57" s="126">
        <f>IF($K57&lt;&gt;"Vendido",0,$M57-$O57+$P57-$Q57)</f>
        <v/>
      </c>
      <c r="S57" s="127">
        <f>IF($A57="","",IF($K57&lt;&gt;"Vendido",0,$R57-$H57))</f>
        <v/>
      </c>
      <c r="T57" s="128">
        <f>IFERROR($S57/$R57,0)</f>
        <v/>
      </c>
      <c r="U57" s="129">
        <f>IF($B57="","",MAX(0,IF($L57&lt;&gt;"",$L57-$B57,CONFIG!$C$6-$B57)))</f>
        <v/>
      </c>
    </row>
    <row r="58" ht="15" customHeight="1" s="79"/>
    <row r="59" ht="15" customHeight="1" s="79"/>
    <row r="60" ht="15" customHeight="1" s="79"/>
    <row r="61" ht="15" customHeight="1" s="79"/>
    <row r="62" ht="15" customHeight="1" s="79"/>
    <row r="63" ht="15" customHeight="1" s="79"/>
    <row r="64" ht="15" customHeight="1" s="79"/>
    <row r="65" ht="15" customHeight="1" s="79"/>
    <row r="66" ht="15" customHeight="1" s="79"/>
    <row r="67" ht="15" customHeight="1" s="79"/>
    <row r="68" ht="15" customHeight="1" s="79"/>
    <row r="69" ht="15" customHeight="1" s="79"/>
    <row r="70" ht="15" customHeight="1" s="79"/>
    <row r="71" ht="15" customHeight="1" s="79"/>
    <row r="72" ht="15" customHeight="1" s="79"/>
    <row r="73" ht="15" customHeight="1" s="79"/>
    <row r="74" ht="15" customHeight="1" s="79"/>
    <row r="75" ht="15" customHeight="1" s="79"/>
    <row r="76" ht="15" customHeight="1" s="79"/>
    <row r="77" ht="15" customHeight="1" s="79"/>
    <row r="78" ht="15" customHeight="1" s="79"/>
    <row r="79" ht="15" customHeight="1" s="79"/>
    <row r="80" ht="15" customHeight="1" s="79"/>
    <row r="81" ht="15" customHeight="1" s="79"/>
    <row r="82" ht="15" customHeight="1" s="79"/>
    <row r="83" ht="15" customHeight="1" s="79"/>
    <row r="84" ht="15" customHeight="1" s="79"/>
    <row r="85" ht="15" customHeight="1" s="79"/>
    <row r="86" ht="15" customHeight="1" s="79"/>
    <row r="87" ht="15" customHeight="1" s="79"/>
    <row r="88" ht="15" customHeight="1" s="79"/>
    <row r="89" ht="15" customHeight="1" s="79"/>
    <row r="90" ht="15" customHeight="1" s="79"/>
    <row r="91" ht="15" customHeight="1" s="79"/>
    <row r="92" ht="15" customHeight="1" s="79"/>
    <row r="93" ht="15" customHeight="1" s="79"/>
    <row r="94" ht="15" customHeight="1" s="79"/>
    <row r="95" ht="15" customHeight="1" s="79"/>
    <row r="96" ht="15" customHeight="1" s="79"/>
    <row r="97" ht="15" customHeight="1" s="79"/>
    <row r="98" ht="15" customHeight="1" s="79"/>
    <row r="99" ht="15" customHeight="1" s="79"/>
    <row r="100" ht="15" customHeight="1" s="79"/>
    <row r="101" ht="15" customHeight="1" s="79"/>
    <row r="102" ht="15" customHeight="1" s="79"/>
    <row r="103" ht="15" customHeight="1" s="79"/>
    <row r="104" ht="15" customHeight="1" s="79"/>
    <row r="105" ht="15" customHeight="1" s="79"/>
    <row r="106" ht="15" customHeight="1" s="79"/>
    <row r="107" ht="15" customHeight="1" s="79"/>
    <row r="108" ht="15" customHeight="1" s="79"/>
    <row r="109" ht="15" customHeight="1" s="79"/>
    <row r="110" ht="15" customHeight="1" s="79"/>
    <row r="111" ht="15" customHeight="1" s="79"/>
    <row r="112" ht="15" customHeight="1" s="79"/>
    <row r="113" ht="15" customHeight="1" s="79"/>
    <row r="114" ht="15" customHeight="1" s="79"/>
    <row r="115" ht="15" customHeight="1" s="79"/>
    <row r="116" ht="15" customHeight="1" s="79"/>
    <row r="117" ht="15" customHeight="1" s="79"/>
    <row r="118" ht="15" customHeight="1" s="79"/>
    <row r="119" ht="15" customHeight="1" s="79"/>
    <row r="120" ht="15" customHeight="1" s="79"/>
    <row r="121" ht="15" customHeight="1" s="79"/>
    <row r="122" ht="15" customHeight="1" s="79"/>
    <row r="123" ht="15" customHeight="1" s="79"/>
    <row r="124" ht="15" customHeight="1" s="79"/>
    <row r="125" ht="15" customHeight="1" s="79"/>
    <row r="126" ht="15" customHeight="1" s="79"/>
    <row r="127" ht="15" customHeight="1" s="79"/>
    <row r="128" ht="15" customHeight="1" s="79"/>
    <row r="129" ht="15" customHeight="1" s="79"/>
    <row r="130" ht="15" customHeight="1" s="79"/>
    <row r="131" ht="15" customHeight="1" s="79"/>
    <row r="132" ht="15" customHeight="1" s="79"/>
    <row r="133" ht="15" customHeight="1" s="79"/>
    <row r="134" ht="15" customHeight="1" s="79"/>
    <row r="135" ht="15" customHeight="1" s="79"/>
    <row r="136" ht="15" customHeight="1" s="79"/>
    <row r="137" ht="15" customHeight="1" s="79"/>
    <row r="138" ht="15" customHeight="1" s="79"/>
    <row r="139" ht="15" customHeight="1" s="79"/>
    <row r="140" ht="15" customHeight="1" s="79"/>
    <row r="141" ht="15" customHeight="1" s="79"/>
    <row r="142" ht="15" customHeight="1" s="79"/>
    <row r="143" ht="15" customHeight="1" s="79"/>
    <row r="144" ht="15" customHeight="1" s="79"/>
    <row r="145" ht="15" customHeight="1" s="79"/>
    <row r="146" ht="15" customHeight="1" s="79"/>
    <row r="147" ht="15" customHeight="1" s="79"/>
    <row r="148" ht="15" customHeight="1" s="79"/>
    <row r="149" ht="15" customHeight="1" s="79"/>
    <row r="150" ht="15" customHeight="1" s="79"/>
    <row r="151" ht="15" customHeight="1" s="79"/>
    <row r="152" ht="15" customHeight="1" s="79"/>
    <row r="153" ht="15" customHeight="1" s="79"/>
    <row r="154" ht="15" customHeight="1" s="79"/>
    <row r="155" ht="15" customHeight="1" s="79"/>
    <row r="156" ht="15" customHeight="1" s="79"/>
    <row r="157" ht="15" customHeight="1" s="79"/>
    <row r="158" ht="15" customHeight="1" s="79"/>
    <row r="159" ht="15" customHeight="1" s="79"/>
    <row r="160" ht="15" customHeight="1" s="79"/>
    <row r="161" ht="15" customHeight="1" s="79"/>
    <row r="162" ht="15" customHeight="1" s="79"/>
    <row r="163" ht="15" customHeight="1" s="79"/>
    <row r="164" ht="15" customHeight="1" s="79"/>
    <row r="165" ht="15" customHeight="1" s="79"/>
    <row r="166" ht="15" customHeight="1" s="79"/>
    <row r="167" ht="15" customHeight="1" s="79"/>
    <row r="168" ht="15" customHeight="1" s="79"/>
    <row r="169" ht="15" customHeight="1" s="79"/>
    <row r="170" ht="15" customHeight="1" s="79"/>
    <row r="171" ht="15" customHeight="1" s="79"/>
    <row r="172" ht="15" customHeight="1" s="79"/>
    <row r="173" ht="15" customHeight="1" s="79"/>
    <row r="174" ht="15" customHeight="1" s="79"/>
    <row r="175" ht="15" customHeight="1" s="79"/>
    <row r="176" ht="15" customHeight="1" s="79"/>
    <row r="177" ht="15" customHeight="1" s="79"/>
    <row r="178" ht="15" customHeight="1" s="79"/>
    <row r="179" ht="15" customHeight="1" s="79"/>
    <row r="180" ht="15" customHeight="1" s="79"/>
    <row r="181" ht="15" customHeight="1" s="79"/>
    <row r="182" ht="15" customHeight="1" s="79"/>
    <row r="183" ht="15" customHeight="1" s="79"/>
    <row r="184" ht="15" customHeight="1" s="79"/>
    <row r="185" ht="15" customHeight="1" s="79"/>
    <row r="186" ht="15" customHeight="1" s="79"/>
    <row r="187" ht="15" customHeight="1" s="79"/>
    <row r="188" ht="15" customHeight="1" s="79"/>
    <row r="189" ht="15" customHeight="1" s="79"/>
    <row r="190" ht="15" customHeight="1" s="79"/>
    <row r="191" ht="15" customHeight="1" s="79"/>
    <row r="192" ht="15" customHeight="1" s="79"/>
    <row r="193" ht="15" customHeight="1" s="79"/>
    <row r="194" ht="15" customHeight="1" s="79"/>
    <row r="195" ht="15" customHeight="1" s="79"/>
    <row r="196" ht="15" customHeight="1" s="79"/>
    <row r="197" ht="15" customHeight="1" s="79"/>
    <row r="198" ht="15" customHeight="1" s="79"/>
    <row r="199" ht="15" customHeight="1" s="79"/>
    <row r="200" ht="15" customHeight="1" s="79"/>
    <row r="201" ht="15" customHeight="1" s="79"/>
    <row r="202" ht="15" customHeight="1" s="79"/>
    <row r="203" ht="15" customHeight="1" s="79"/>
    <row r="204" ht="15" customHeight="1" s="79"/>
    <row r="205" ht="15" customHeight="1" s="79"/>
    <row r="206" ht="15" customHeight="1" s="79"/>
    <row r="207" ht="15" customHeight="1" s="79"/>
  </sheetData>
  <mergeCells count="2">
    <mergeCell ref="A1:U1"/>
    <mergeCell ref="A2:U2"/>
  </mergeCells>
  <dataValidations count="5">
    <dataValidation sqref="D8:D57" showDropDown="0" showInputMessage="0" showErrorMessage="0" allowBlank="0" type="list" errorStyle="stop" operator="between">
      <formula1>CONFIG!$B$12:$B$19</formula1>
      <formula2>0</formula2>
    </dataValidation>
    <dataValidation sqref="J8:J57" showDropDown="0" showInputMessage="0" showErrorMessage="0" allowBlank="0" type="list" errorStyle="stop" operator="between">
      <formula1>CONFIG!$E$12:$E$15</formula1>
      <formula2>0</formula2>
    </dataValidation>
    <dataValidation sqref="K8:K57" showDropDown="0" showInputMessage="0" showErrorMessage="0" allowBlank="0" type="list" errorStyle="stop" operator="between">
      <formula1>CONFIG!$F$18:$F$21</formula1>
      <formula2>0</formula2>
    </dataValidation>
    <dataValidation sqref="E8:E57" showDropDown="0" showInputMessage="0" showErrorMessage="0" allowBlank="0" type="whole" errorStyle="stop" operator="greaterThan">
      <formula1>0</formula1>
      <formula2>0</formula2>
    </dataValidation>
    <dataValidation sqref="F8:G57" showDropDown="0" showInputMessage="0" showErrorMessage="0" allowBlank="0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G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78" min="1" max="1"/>
    <col width="20" customWidth="1" style="78" min="2" max="2"/>
    <col width="14" customWidth="1" style="78" min="3" max="3"/>
    <col width="17" customWidth="1" style="78" min="4" max="7"/>
  </cols>
  <sheetData>
    <row r="1" ht="33.75" customHeight="1" s="79">
      <c r="A1" s="80" t="inlineStr">
        <is>
          <t>CANALES</t>
        </is>
      </c>
    </row>
    <row r="2" ht="25.5" customHeight="1" s="79">
      <c r="A2" s="81" t="inlineStr">
        <is>
          <t>Compara unidades vendidas e importes introducidos y calculados por canal.</t>
        </is>
      </c>
    </row>
    <row r="3" ht="15" customHeight="1" s="79">
      <c r="A3" s="82" t="n"/>
      <c r="B3" s="82" t="n"/>
      <c r="C3" s="82" t="n"/>
      <c r="D3" s="82" t="n"/>
      <c r="E3" s="82" t="n"/>
      <c r="F3" s="82" t="n"/>
      <c r="G3" s="82" t="n"/>
    </row>
    <row r="4" ht="15" customHeight="1" s="79">
      <c r="A4" s="82" t="n"/>
      <c r="B4" s="82" t="n"/>
      <c r="C4" s="82" t="n"/>
      <c r="D4" s="82" t="n"/>
      <c r="E4" s="82" t="n"/>
      <c r="F4" s="82" t="n"/>
      <c r="G4" s="82" t="n"/>
    </row>
    <row r="5" ht="33.75" customHeight="1" s="79">
      <c r="A5" s="82" t="n"/>
      <c r="B5" s="105" t="inlineStr">
        <is>
          <t>Canal</t>
        </is>
      </c>
      <c r="C5" s="105" t="inlineStr">
        <is>
          <t>Unidades vendidas</t>
        </is>
      </c>
      <c r="D5" s="105" t="inlineStr">
        <is>
          <t>Importe de ventas</t>
        </is>
      </c>
      <c r="E5" s="105" t="inlineStr">
        <is>
          <t>Comisiones de plataforma</t>
        </is>
      </c>
      <c r="F5" s="105" t="inlineStr">
        <is>
          <t>Entrada neta calculada</t>
        </is>
      </c>
      <c r="G5" s="105" t="inlineStr">
        <is>
          <t>Resultado calculado</t>
        </is>
      </c>
    </row>
    <row r="6" ht="15" customHeight="1" s="79">
      <c r="A6" s="82" t="n"/>
      <c r="B6" s="130">
        <f>CONFIG!E12</f>
        <v/>
      </c>
      <c r="C6" s="131">
        <f>SUMIFS(INVENTARIO!$E$8:$E$57,INVENTARIO!$J$8:$J$57,$B6,INVENTARIO!$K$8:$K$57,"Vendido")</f>
        <v/>
      </c>
      <c r="D6" s="115">
        <f>SUMIFS(INVENTARIO!$M$8:$M$57,INVENTARIO!$J$8:$J$57,$B6,INVENTARIO!$K$8:$K$57,"Vendido")</f>
        <v/>
      </c>
      <c r="E6" s="115">
        <f>SUMIFS(INVENTARIO!$O$8:$O$57,INVENTARIO!$J$8:$J$57,$B6)</f>
        <v/>
      </c>
      <c r="F6" s="115">
        <f>SUMIFS(INVENTARIO!$R$8:$R$57,INVENTARIO!$J$8:$J$57,$B6)</f>
        <v/>
      </c>
      <c r="G6" s="113">
        <f>SUMIFS(INVENTARIO!$S$8:$S$57,INVENTARIO!$J$8:$J$57,$B6)</f>
        <v/>
      </c>
    </row>
    <row r="7" ht="15" customHeight="1" s="79">
      <c r="A7" s="82" t="n"/>
      <c r="B7" s="132">
        <f>CONFIG!E13</f>
        <v/>
      </c>
      <c r="C7" s="133">
        <f>SUMIFS(INVENTARIO!$E$8:$E$57,INVENTARIO!$J$8:$J$57,$B7,INVENTARIO!$K$8:$K$57,"Vendido")</f>
        <v/>
      </c>
      <c r="D7" s="127">
        <f>SUMIFS(INVENTARIO!$M$8:$M$57,INVENTARIO!$J$8:$J$57,$B7,INVENTARIO!$K$8:$K$57,"Vendido")</f>
        <v/>
      </c>
      <c r="E7" s="127">
        <f>SUMIFS(INVENTARIO!$O$8:$O$57,INVENTARIO!$J$8:$J$57,$B7)</f>
        <v/>
      </c>
      <c r="F7" s="127">
        <f>SUMIFS(INVENTARIO!$R$8:$R$57,INVENTARIO!$J$8:$J$57,$B7)</f>
        <v/>
      </c>
      <c r="G7" s="125">
        <f>SUMIFS(INVENTARIO!$S$8:$S$57,INVENTARIO!$J$8:$J$57,$B7)</f>
        <v/>
      </c>
    </row>
    <row r="8" ht="15" customHeight="1" s="79">
      <c r="A8" s="82" t="n"/>
      <c r="B8" s="132">
        <f>CONFIG!E14</f>
        <v/>
      </c>
      <c r="C8" s="133">
        <f>SUMIFS(INVENTARIO!$E$8:$E$57,INVENTARIO!$J$8:$J$57,$B8,INVENTARIO!$K$8:$K$57,"Vendido")</f>
        <v/>
      </c>
      <c r="D8" s="127">
        <f>SUMIFS(INVENTARIO!$M$8:$M$57,INVENTARIO!$J$8:$J$57,$B8,INVENTARIO!$K$8:$K$57,"Vendido")</f>
        <v/>
      </c>
      <c r="E8" s="127">
        <f>SUMIFS(INVENTARIO!$O$8:$O$57,INVENTARIO!$J$8:$J$57,$B8)</f>
        <v/>
      </c>
      <c r="F8" s="127">
        <f>SUMIFS(INVENTARIO!$R$8:$R$57,INVENTARIO!$J$8:$J$57,$B8)</f>
        <v/>
      </c>
      <c r="G8" s="125">
        <f>SUMIFS(INVENTARIO!$S$8:$S$57,INVENTARIO!$J$8:$J$57,$B8)</f>
        <v/>
      </c>
    </row>
    <row r="9" ht="15" customHeight="1" s="79">
      <c r="A9" s="82" t="n"/>
      <c r="B9" s="134">
        <f>CONFIG!E15</f>
        <v/>
      </c>
      <c r="C9" s="135">
        <f>SUMIFS(INVENTARIO!$E$8:$E$57,INVENTARIO!$J$8:$J$57,$B9,INVENTARIO!$K$8:$K$57,"Vendido")</f>
        <v/>
      </c>
      <c r="D9" s="136">
        <f>SUMIFS(INVENTARIO!$M$8:$M$57,INVENTARIO!$J$8:$J$57,$B9,INVENTARIO!$K$8:$K$57,"Vendido")</f>
        <v/>
      </c>
      <c r="E9" s="136">
        <f>SUMIFS(INVENTARIO!$O$8:$O$57,INVENTARIO!$J$8:$J$57,$B9)</f>
        <v/>
      </c>
      <c r="F9" s="136">
        <f>SUMIFS(INVENTARIO!$R$8:$R$57,INVENTARIO!$J$8:$J$57,$B9)</f>
        <v/>
      </c>
      <c r="G9" s="137">
        <f>SUMIFS(INVENTARIO!$S$8:$S$57,INVENTARIO!$J$8:$J$57,$B9)</f>
        <v/>
      </c>
    </row>
    <row r="10" ht="15" customHeight="1" s="79">
      <c r="A10" s="82" t="n"/>
      <c r="B10" s="82" t="n"/>
      <c r="C10" s="82" t="n"/>
      <c r="D10" s="82" t="n"/>
      <c r="E10" s="82" t="n"/>
      <c r="F10" s="82" t="n"/>
      <c r="G10" s="82" t="n"/>
    </row>
    <row r="11" ht="15" customHeight="1" s="79">
      <c r="A11" s="82" t="n"/>
      <c r="B11" s="82" t="n"/>
      <c r="C11" s="82" t="n"/>
      <c r="D11" s="82" t="n"/>
      <c r="E11" s="82" t="n"/>
      <c r="F11" s="82" t="n"/>
      <c r="G11" s="82" t="n"/>
    </row>
    <row r="12" ht="15" customHeight="1" s="79">
      <c r="A12" s="82" t="n"/>
      <c r="B12" s="82" t="n"/>
      <c r="C12" s="82" t="n"/>
      <c r="D12" s="82" t="n"/>
      <c r="E12" s="82" t="n"/>
      <c r="F12" s="82" t="n"/>
      <c r="G12" s="82" t="n"/>
    </row>
    <row r="13" ht="15" customHeight="1" s="79">
      <c r="A13" s="82" t="n"/>
      <c r="B13" s="82" t="n"/>
      <c r="C13" s="82" t="n"/>
      <c r="D13" s="82" t="n"/>
      <c r="E13" s="82" t="n"/>
      <c r="F13" s="82" t="n"/>
      <c r="G13" s="82" t="n"/>
    </row>
    <row r="14" ht="15" customHeight="1" s="79">
      <c r="A14" s="82" t="n"/>
      <c r="B14" s="82" t="n"/>
      <c r="C14" s="82" t="n"/>
      <c r="D14" s="82" t="n"/>
      <c r="E14" s="82" t="n"/>
      <c r="F14" s="82" t="n"/>
      <c r="G14" s="82" t="n"/>
    </row>
    <row r="15" ht="15" customHeight="1" s="79">
      <c r="A15" s="82" t="n"/>
      <c r="B15" s="82" t="n"/>
      <c r="C15" s="82" t="n"/>
      <c r="D15" s="82" t="n"/>
      <c r="E15" s="82" t="n"/>
      <c r="F15" s="82" t="n"/>
      <c r="G15" s="82" t="n"/>
    </row>
    <row r="16" ht="15" customHeight="1" s="79">
      <c r="A16" s="82" t="n"/>
      <c r="B16" s="82" t="n"/>
      <c r="C16" s="82" t="n"/>
      <c r="D16" s="82" t="n"/>
      <c r="E16" s="82" t="n"/>
      <c r="F16" s="82" t="n"/>
      <c r="G16" s="82" t="n"/>
    </row>
    <row r="17" ht="15" customHeight="1" s="79">
      <c r="A17" s="82" t="n"/>
      <c r="B17" s="82" t="n"/>
      <c r="C17" s="82" t="n"/>
      <c r="D17" s="82" t="n"/>
      <c r="E17" s="82" t="n"/>
      <c r="F17" s="82" t="n"/>
      <c r="G17" s="82" t="n"/>
    </row>
    <row r="18" ht="15" customHeight="1" s="79">
      <c r="A18" s="82" t="n"/>
      <c r="B18" s="82" t="n"/>
      <c r="C18" s="82" t="n"/>
      <c r="D18" s="82" t="n"/>
      <c r="E18" s="82" t="n"/>
      <c r="F18" s="82" t="n"/>
      <c r="G18" s="82" t="n"/>
    </row>
  </sheetData>
  <mergeCells count="2">
    <mergeCell ref="A2:G2"/>
    <mergeCell ref="A1:G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L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78" min="1" max="1"/>
    <col width="17" customWidth="1" style="78" min="2" max="3"/>
    <col width="10" customWidth="1" style="78" min="4" max="4"/>
    <col width="17" customWidth="1" style="78" min="5" max="6"/>
    <col width="4" customWidth="1" style="78" min="7" max="7"/>
    <col width="15" customWidth="1" style="78" min="8" max="11"/>
    <col width="3" customWidth="1" style="78" min="12" max="12"/>
  </cols>
  <sheetData>
    <row r="1" ht="33.75" customHeight="1" s="79">
      <c r="A1" s="80" t="inlineStr">
        <is>
          <t>RESUMEN DE REVENTA</t>
        </is>
      </c>
    </row>
    <row r="2" ht="25.5" customHeight="1" s="79">
      <c r="A2" s="81" t="inlineStr">
        <is>
          <t>Coste registrado del stock, ventas, resultado calculado, rotación y antigüedad.</t>
        </is>
      </c>
    </row>
    <row r="3" ht="15" customHeight="1" s="79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</row>
    <row r="4" ht="15" customHeight="1" s="79">
      <c r="A4" s="82" t="n"/>
      <c r="B4" s="82" t="n"/>
      <c r="C4" s="82" t="n"/>
      <c r="D4" s="82" t="n"/>
      <c r="E4" s="82" t="n"/>
      <c r="F4" s="82" t="n"/>
      <c r="G4" s="82" t="n"/>
      <c r="H4" s="82" t="n"/>
      <c r="I4" s="82" t="n"/>
      <c r="J4" s="82" t="n"/>
      <c r="K4" s="82" t="n"/>
      <c r="L4" s="82" t="n"/>
    </row>
    <row r="5" ht="15" customHeight="1" s="79">
      <c r="A5" s="82" t="n"/>
      <c r="B5" s="138" t="inlineStr">
        <is>
          <t>COSTE DE STOCK ACTIVO</t>
        </is>
      </c>
      <c r="C5" s="139" t="n"/>
      <c r="D5" s="82" t="n"/>
      <c r="E5" s="138" t="inlineStr">
        <is>
          <t>IMPORTE DE VENTAS</t>
        </is>
      </c>
      <c r="F5" s="139" t="n"/>
      <c r="G5" s="82" t="n"/>
      <c r="H5" s="138" t="inlineStr">
        <is>
          <t>RESULTADO CALCULADO</t>
        </is>
      </c>
      <c r="I5" s="139" t="n"/>
      <c r="J5" s="138" t="inlineStr">
        <is>
          <t>ROTACIÓN CALCULADA</t>
        </is>
      </c>
      <c r="K5" s="139" t="n"/>
      <c r="L5" s="82" t="n"/>
    </row>
    <row r="6" ht="30" customHeight="1" s="79">
      <c r="A6" s="82" t="n"/>
      <c r="B6" s="140">
        <f>SUMIFS(INVENTARIO!$H$8:$H$57,INVENTARIO!$K$8:$K$57,"Activo")</f>
        <v/>
      </c>
      <c r="C6" s="141" t="n"/>
      <c r="D6" s="82" t="n"/>
      <c r="E6" s="140">
        <f>SUMIFS(INVENTARIO!$M$8:$M$57,INVENTARIO!$K$8:$K$57,"Vendido")</f>
        <v/>
      </c>
      <c r="F6" s="141" t="n"/>
      <c r="G6" s="82" t="n"/>
      <c r="H6" s="140">
        <f>SUM(INVENTARIO!$S$8:$S$57)</f>
        <v/>
      </c>
      <c r="I6" s="141" t="n"/>
      <c r="J6" s="142">
        <f>IFERROR(SUMIFS(INVENTARIO!$E$8:$E$57,INVENTARIO!$K$8:$K$57,"Vendido")/SUM(INVENTARIO!$E$8:$E$57),0)</f>
        <v/>
      </c>
      <c r="K6" s="141" t="n"/>
      <c r="L6" s="82" t="n"/>
    </row>
    <row r="7" ht="30" customHeight="1" s="79">
      <c r="A7" s="82" t="n"/>
      <c r="B7" s="143" t="n"/>
      <c r="C7" s="144" t="n"/>
      <c r="D7" s="82" t="n"/>
      <c r="E7" s="143" t="n"/>
      <c r="F7" s="144" t="n"/>
      <c r="G7" s="82" t="n"/>
      <c r="H7" s="143" t="n"/>
      <c r="I7" s="144" t="n"/>
      <c r="J7" s="143" t="n"/>
      <c r="K7" s="144" t="n"/>
      <c r="L7" s="82" t="n"/>
    </row>
    <row r="8" ht="15" customHeight="1" s="79">
      <c r="A8" s="82" t="n"/>
      <c r="B8" s="82" t="n"/>
      <c r="C8" s="82" t="n"/>
      <c r="D8" s="82" t="n"/>
      <c r="E8" s="82" t="n"/>
      <c r="F8" s="82" t="n"/>
      <c r="G8" s="82" t="n"/>
      <c r="H8" s="82" t="n"/>
      <c r="I8" s="82" t="n"/>
      <c r="J8" s="82" t="n"/>
      <c r="K8" s="82" t="n"/>
      <c r="L8" s="82" t="n"/>
    </row>
    <row r="9" ht="15" customHeight="1" s="79">
      <c r="A9" s="82" t="n"/>
      <c r="B9" s="82" t="n"/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</row>
    <row r="10" ht="33.75" customHeight="1" s="79">
      <c r="A10" s="82" t="n"/>
      <c r="B10" s="105" t="inlineStr">
        <is>
          <t>Canal</t>
        </is>
      </c>
      <c r="C10" s="105" t="inlineStr">
        <is>
          <t>Resultado calculado</t>
        </is>
      </c>
      <c r="D10" s="105" t="inlineStr">
        <is>
          <t>Unidades vendidas</t>
        </is>
      </c>
      <c r="E10" s="82" t="n"/>
      <c r="F10" s="82" t="n"/>
      <c r="G10" s="82" t="n"/>
      <c r="H10" s="82" t="n"/>
      <c r="I10" s="82" t="n"/>
      <c r="J10" s="82" t="n"/>
      <c r="K10" s="82" t="n"/>
      <c r="L10" s="82" t="n"/>
    </row>
    <row r="11" ht="15" customHeight="1" s="79">
      <c r="A11" s="82" t="n"/>
      <c r="B11" s="82">
        <f>CONFIG!E12</f>
        <v/>
      </c>
      <c r="C11" s="145">
        <f>CANALES!G6</f>
        <v/>
      </c>
      <c r="D11" s="82">
        <f>CANALES!C6</f>
        <v/>
      </c>
      <c r="E11" s="82" t="n"/>
      <c r="F11" s="82" t="n"/>
      <c r="G11" s="82" t="n"/>
      <c r="H11" s="82" t="n"/>
      <c r="I11" s="82" t="n"/>
      <c r="J11" s="82" t="n"/>
      <c r="K11" s="82" t="n"/>
      <c r="L11" s="82" t="n"/>
    </row>
    <row r="12" ht="15" customHeight="1" s="79">
      <c r="A12" s="82" t="n"/>
      <c r="B12" s="82">
        <f>CONFIG!E13</f>
        <v/>
      </c>
      <c r="C12" s="145">
        <f>CANALES!G7</f>
        <v/>
      </c>
      <c r="D12" s="82">
        <f>CANALES!C7</f>
        <v/>
      </c>
      <c r="E12" s="82" t="n"/>
      <c r="F12" s="82" t="n"/>
      <c r="G12" s="82" t="n"/>
      <c r="H12" s="82" t="n"/>
      <c r="I12" s="82" t="n"/>
      <c r="J12" s="82" t="n"/>
      <c r="K12" s="82" t="n"/>
      <c r="L12" s="82" t="n"/>
    </row>
    <row r="13" ht="15" customHeight="1" s="79">
      <c r="A13" s="82" t="n"/>
      <c r="B13" s="82">
        <f>CONFIG!E14</f>
        <v/>
      </c>
      <c r="C13" s="145">
        <f>CANALES!G8</f>
        <v/>
      </c>
      <c r="D13" s="82">
        <f>CANALES!C8</f>
        <v/>
      </c>
      <c r="E13" s="82" t="n"/>
      <c r="F13" s="82" t="n"/>
      <c r="G13" s="82" t="n"/>
      <c r="H13" s="82" t="n"/>
      <c r="I13" s="82" t="n"/>
      <c r="J13" s="82" t="n"/>
      <c r="K13" s="82" t="n"/>
      <c r="L13" s="82" t="n"/>
    </row>
    <row r="14" ht="15" customHeight="1" s="79">
      <c r="A14" s="82" t="n"/>
      <c r="B14" s="82">
        <f>CONFIG!E15</f>
        <v/>
      </c>
      <c r="C14" s="145">
        <f>CANALES!G9</f>
        <v/>
      </c>
      <c r="D14" s="82">
        <f>CANALES!C9</f>
        <v/>
      </c>
      <c r="E14" s="82" t="n"/>
      <c r="F14" s="82" t="n"/>
      <c r="G14" s="82" t="n"/>
      <c r="H14" s="82" t="n"/>
      <c r="I14" s="82" t="n"/>
      <c r="J14" s="82" t="n"/>
      <c r="K14" s="82" t="n"/>
      <c r="L14" s="82" t="n"/>
    </row>
    <row r="15" ht="15" customHeight="1" s="79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</row>
    <row r="16" ht="15" customHeight="1" s="79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</row>
    <row r="17" ht="33.75" customHeight="1" s="79">
      <c r="A17" s="82" t="n"/>
      <c r="B17" s="105" t="inlineStr">
        <is>
          <t>Control de antigüedad</t>
        </is>
      </c>
      <c r="C17" s="105" t="inlineStr">
        <is>
          <t>Artículos</t>
        </is>
      </c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</row>
    <row r="18" ht="30.75" customHeight="1" s="79">
      <c r="A18" s="82" t="n"/>
      <c r="B18" s="85" t="inlineStr">
        <is>
          <t>Activos por encima del aviso</t>
        </is>
      </c>
      <c r="C18" s="82">
        <f>COUNTIFS(INVENTARIO!$K$8:$K$57,"Activo",INVENTARIO!$U$8:$U$57,"&gt;"&amp;CONFIG!$C$8)</f>
        <v/>
      </c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</row>
    <row r="19" ht="30.75" customHeight="1" s="79">
      <c r="A19" s="82" t="n"/>
      <c r="B19" s="85" t="inlineStr">
        <is>
          <t>Media de días hasta venta (SKU)</t>
        </is>
      </c>
      <c r="C19" s="82">
        <f>IFERROR(SUMIFS(INVENTARIO!$U$8:$U$57,INVENTARIO!$K$8:$K$57,"Vendido")/COUNTIFS(INVENTARIO!$K$8:$K$57,"Vendido"),0)</f>
        <v/>
      </c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</row>
    <row r="20" ht="15" customHeight="1" s="79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</row>
    <row r="21" ht="15" customHeight="1" s="79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</row>
    <row r="22" ht="15" customHeight="1" s="79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</row>
    <row r="23" ht="15" customHeight="1" s="79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</row>
    <row r="24" ht="15" customHeight="1" s="79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</row>
    <row r="25" ht="15" customHeight="1" s="79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</row>
    <row r="26" ht="15" customHeight="1" s="79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</row>
    <row r="27" ht="15" customHeight="1" s="79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</row>
    <row r="28" ht="15" customHeight="1" s="79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</row>
    <row r="29" ht="15" customHeight="1" s="7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</row>
    <row r="30" ht="15" customHeight="1" s="79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</row>
  </sheetData>
  <mergeCells count="10">
    <mergeCell ref="A2:L2"/>
    <mergeCell ref="E6:F7"/>
    <mergeCell ref="J5:K5"/>
    <mergeCell ref="H6:I7"/>
    <mergeCell ref="B5:C5"/>
    <mergeCell ref="J6:K7"/>
    <mergeCell ref="A1:L1"/>
    <mergeCell ref="E5:F5"/>
    <mergeCell ref="H5:I5"/>
    <mergeCell ref="B6:C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78" min="1" max="1"/>
    <col width="18" customWidth="1" style="78" min="2" max="3"/>
    <col width="14" customWidth="1" style="78" min="4" max="4"/>
    <col width="42" customWidth="1" style="78" min="5" max="5"/>
    <col width="3" customWidth="1" style="78" min="6" max="6"/>
  </cols>
  <sheetData>
    <row r="1" ht="33.75" customHeight="1" s="79">
      <c r="A1" s="80" t="inlineStr">
        <is>
          <t>CONTROLES</t>
        </is>
      </c>
    </row>
    <row r="2" ht="25.5" customHeight="1" s="79">
      <c r="A2" s="81" t="inlineStr">
        <is>
          <t>Cuadres internos de coste, ventas y resultado calculado.</t>
        </is>
      </c>
    </row>
    <row r="3" ht="15" customHeight="1" s="79">
      <c r="A3" s="82" t="n"/>
      <c r="B3" s="82" t="n"/>
      <c r="C3" s="82" t="n"/>
      <c r="D3" s="82" t="n"/>
      <c r="E3" s="82" t="n"/>
      <c r="F3" s="82" t="n"/>
    </row>
    <row r="4" ht="15" customHeight="1" s="79">
      <c r="A4" s="82" t="n"/>
      <c r="B4" s="82" t="n"/>
      <c r="C4" s="82" t="n"/>
      <c r="D4" s="82" t="n"/>
      <c r="E4" s="82" t="n"/>
      <c r="F4" s="82" t="n"/>
    </row>
    <row r="5" ht="33.75" customHeight="1" s="79">
      <c r="A5" s="105" t="inlineStr">
        <is>
          <t>Control</t>
        </is>
      </c>
      <c r="B5" s="105" t="inlineStr">
        <is>
          <t>Calculado</t>
        </is>
      </c>
      <c r="C5" s="105" t="inlineStr">
        <is>
          <t>Referencia</t>
        </is>
      </c>
      <c r="D5" s="105" t="inlineStr">
        <is>
          <t>Estado</t>
        </is>
      </c>
      <c r="E5" s="105" t="inlineStr">
        <is>
          <t>Dónde revisar</t>
        </is>
      </c>
      <c r="F5" s="82" t="n"/>
    </row>
    <row r="6" ht="15" customHeight="1" s="79">
      <c r="A6" s="146" t="inlineStr">
        <is>
          <t>Coste total de ejemplo</t>
        </is>
      </c>
      <c r="B6" s="147">
        <f>INVENTARIO!$H$8</f>
        <v/>
      </c>
      <c r="C6" s="147">
        <f>INVENTARIO!$E$8*INVENTARIO!$F$8+INVENTARIO!$G$8</f>
        <v/>
      </c>
      <c r="D6" s="148">
        <f>IF(ABS(B6-C6)&lt;0.01,"OK","REVISAR")</f>
        <v/>
      </c>
      <c r="E6" s="149" t="inlineStr">
        <is>
          <t>INVENTARIO fila 8</t>
        </is>
      </c>
      <c r="F6" s="82" t="n"/>
    </row>
    <row r="7" ht="15" customHeight="1" s="79">
      <c r="A7" s="146" t="inlineStr">
        <is>
          <t>Resultado por canal</t>
        </is>
      </c>
      <c r="B7" s="147">
        <f>SUM(CANALES!$G$6:$G$9)</f>
        <v/>
      </c>
      <c r="C7" s="147">
        <f>SUM(INVENTARIO!$S$8:$S$57)</f>
        <v/>
      </c>
      <c r="D7" s="148">
        <f>IF(ABS(B7-C7)&lt;0.01,"OK","REVISAR")</f>
        <v/>
      </c>
      <c r="E7" s="149" t="inlineStr">
        <is>
          <t>CANALES frente a INVENTARIO</t>
        </is>
      </c>
      <c r="F7" s="82" t="n"/>
    </row>
    <row r="8" ht="15" customHeight="1" s="79">
      <c r="A8" s="146" t="inlineStr">
        <is>
          <t>Entrada neta calculada total</t>
        </is>
      </c>
      <c r="B8" s="147">
        <f>SUM(CANALES!$F$6:$F$9)</f>
        <v/>
      </c>
      <c r="C8" s="147">
        <f>SUM(INVENTARIO!$R$8:$R$57)</f>
        <v/>
      </c>
      <c r="D8" s="148">
        <f>IF(ABS(B8-C8)&lt;0.01,"OK","REVISAR")</f>
        <v/>
      </c>
      <c r="E8" s="149" t="inlineStr">
        <is>
          <t>Asignación por canal</t>
        </is>
      </c>
      <c r="F8" s="82" t="n"/>
    </row>
    <row r="9" ht="23.85" customHeight="1" s="79">
      <c r="A9" s="146" t="inlineStr">
        <is>
          <t>Filas vendidas incompletas</t>
        </is>
      </c>
      <c r="B9" s="150">
        <f>SUMPRODUCT((INVENTARIO!$K$8:$K$57="Vendido")*(((INVENTARIO!$L$8:$L$57="")+(INVENTARIO!$M$8:$M$57&lt;=0))&gt;0))</f>
        <v/>
      </c>
      <c r="C9" s="150">
        <f>0</f>
        <v/>
      </c>
      <c r="D9" s="148">
        <f>IF(ABS(B9-C9)&lt;0.01,"OK","REVISAR")</f>
        <v/>
      </c>
      <c r="E9" s="149" t="inlineStr">
        <is>
          <t>Cada artículo vendido se cuenta una vez si falta la fecha o el precio de venta total</t>
        </is>
      </c>
      <c r="F9" s="82" t="n"/>
    </row>
    <row r="10" ht="15" customHeight="1" s="79">
      <c r="F10" s="82" t="n"/>
    </row>
    <row r="11" ht="15" customHeight="1" s="79">
      <c r="F11" s="82" t="n"/>
    </row>
    <row r="12" ht="27.75" customHeight="1" s="79">
      <c r="A12" s="151" t="inlineStr">
        <is>
          <t>ESTADO DEL ARCHIVO</t>
        </is>
      </c>
      <c r="B12" s="152" t="n"/>
      <c r="C12" s="152" t="n"/>
      <c r="D12" s="153">
        <f>IF(COUNTIF(D6:D9,"REVISAR")=0,"OK","REVISAR")</f>
        <v/>
      </c>
      <c r="E12" s="154" t="n"/>
      <c r="F12" s="82" t="n"/>
    </row>
    <row r="13" ht="15" customHeight="1" s="79">
      <c r="F13" s="82" t="n"/>
    </row>
    <row r="14" ht="15" customHeight="1" s="79">
      <c r="F14" s="82" t="n"/>
    </row>
    <row r="15" ht="15" customHeight="1" s="79">
      <c r="F15" s="82" t="n"/>
    </row>
    <row r="16" ht="15" customHeight="1" s="79">
      <c r="F16" s="82" t="n"/>
    </row>
    <row r="17" ht="15" customHeight="1" s="79">
      <c r="F17" s="82" t="n"/>
    </row>
    <row r="18" ht="15" customHeight="1" s="79">
      <c r="F18" s="82" t="n"/>
    </row>
    <row r="19" ht="15" customHeight="1" s="79">
      <c r="F19" s="82" t="n"/>
    </row>
    <row r="20" ht="15" customHeight="1" s="79">
      <c r="F20" s="82" t="n"/>
    </row>
    <row r="21" ht="15" customHeight="1" s="79">
      <c r="F21" s="82" t="n"/>
    </row>
    <row r="22" ht="15" customHeight="1" s="79">
      <c r="F22" s="82" t="n"/>
    </row>
    <row r="23" ht="15" customHeight="1" s="79">
      <c r="F23" s="82" t="n"/>
    </row>
    <row r="24" ht="15" customHeight="1" s="79">
      <c r="F24" s="82" t="n"/>
    </row>
  </sheetData>
  <mergeCells count="4">
    <mergeCell ref="A12:C12"/>
    <mergeCell ref="A2:F2"/>
    <mergeCell ref="A1:F1"/>
    <mergeCell ref="D12:E12"/>
  </mergeCells>
  <conditionalFormatting sqref="D6:D8">
    <cfRule type="containsText" rank="0" priority="2" equalAverage="0" operator="containsText" aboveAverage="0" dxfId="0" text="OK" percent="0" bottom="0">
      <formula>NOT(ISERROR(SEARCH("OK",D6)))</formula>
    </cfRule>
    <cfRule type="containsText" rank="0" priority="3" equalAverage="0" operator="containsText" aboveAverage="0" dxfId="1" text="REVIEW" percent="0" bottom="0">
      <formula>NOT(ISERROR(SEARCH("REVIEW",D6)))</formula>
    </cfRule>
  </conditionalFormatting>
  <conditionalFormatting sqref="D11:E11">
    <cfRule type="containsText" rank="0" priority="4" equalAverage="0" operator="containsText" aboveAverage="0" dxfId="0" text="OK" percent="0" bottom="0">
      <formula>NOT(ISERROR(SEARCH("OK",D11)))</formula>
    </cfRule>
    <cfRule type="containsText" rank="0" priority="5" equalAverage="0" operator="containsText" aboveAverage="0" dxfId="1" text="REVIEW" percent="0" bottom="0">
      <formula>NOT(ISERROR(SEARCH("REVIEW",D11)))</formula>
    </cfRule>
  </conditionalFormatting>
  <conditionalFormatting sqref="D6:D9">
    <cfRule type="containsText" rank="0" priority="6" equalAverage="0" operator="containsText" aboveAverage="0" dxfId="0" text="OK" percent="0" bottom="0">
      <formula>NOT(ISERROR(SEARCH("OK",D6)))</formula>
    </cfRule>
    <cfRule type="containsText" rank="0" priority="7" equalAverage="0" operator="containsText" aboveAverage="0" dxfId="1" text="REVIEW" percent="0" bottom="0">
      <formula>NOT(ISERROR(SEARCH("REVIEW",D6)))</formula>
    </cfRule>
  </conditionalFormatting>
  <conditionalFormatting sqref="D12:E12">
    <cfRule type="containsText" rank="0" priority="8" equalAverage="0" operator="containsText" aboveAverage="0" dxfId="0" text="OK" percent="0" bottom="0">
      <formula>NOT(ISERROR(SEARCH("OK",D12)))</formula>
    </cfRule>
    <cfRule type="containsText" rank="0" priority="9" equalAverage="0" operator="containsText" aboveAverage="0" dxfId="1" text="REVIEW" percent="0" bottom="0">
      <formula>NOT(ISERROR(SEARCH("REVIEW",D12)))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Nimbly Sheets</dc:creator>
  <dc:title xmlns:dc="http://purl.org/dc/elements/1.1/">Control de Inventario y Reventa — Edición Gratuita</dc:title>
  <dc:description xmlns:dc="http://purl.org/dc/elements/1.1/">Plantilla gratuita de organización y registro general con supuestos editables. No constituye asesoramiento profesional ni determina obligaciones, cumplimiento o resultados.</dc:description>
  <dc:subject xmlns:dc="http://purl.org/dc/elements/1.1/">Registro general de hasta 50 SKU, ventas, comisiones y envíos</dc:subject>
  <dc:language xmlns:dc="http://purl.org/dc/elements/1.1/">en-US</dc:language>
  <dcterms:created xmlns:dcterms="http://purl.org/dc/terms/" xmlns:xsi="http://www.w3.org/2001/XMLSchema-instance" xsi:type="dcterms:W3CDTF">2026-08-18T00:00:00Z</dcterms:created>
  <dcterms:modified xmlns:dcterms="http://purl.org/dc/terms/" xmlns:xsi="http://www.w3.org/2001/XMLSchema-instance" xsi:type="dcterms:W3CDTF">2026-08-18T03:43:28Z</dcterms:modified>
  <cp:lastModifiedBy>Nimbly Sheets</cp:lastModifiedBy>
  <cp:revision>0</cp:revision>
  <cp:keywords>inventario, stock, reventa, ventas, gratis, Excel, Google Sheets</cp:keywords>
</cp:coreProperties>
</file>